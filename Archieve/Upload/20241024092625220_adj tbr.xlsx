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ropbox\Seafile\My Library\NEW POS\KLAIM PROSES STARS\OKTOBER 2024\LINK IS 07201401292098 MUHAMMAD TAUFIQ NASUTION RD\"/>
    </mc:Choice>
  </mc:AlternateContent>
  <xr:revisionPtr revIDLastSave="0" documentId="13_ncr:1_{8DC980D0-6AC8-4BCD-8D0E-1B172CDB0B56}" xr6:coauthVersionLast="47" xr6:coauthVersionMax="47" xr10:uidLastSave="{00000000-0000-0000-0000-000000000000}"/>
  <bookViews>
    <workbookView xWindow="-120" yWindow="-120" windowWidth="24240" windowHeight="13140" firstSheet="3" activeTab="5" xr2:uid="{00000000-000D-0000-FFFF-FFFF00000000}"/>
  </bookViews>
  <sheets>
    <sheet name="Document map" sheetId="1" r:id="rId1"/>
    <sheet name="INVESTASI DANA ALIA" sheetId="2" r:id="rId2"/>
    <sheet name="INVESTASI DANA ISTIQOMAH" sheetId="3" r:id="rId3"/>
    <sheet name="INVESTASI DANA MIZAN" sheetId="4" r:id="rId4"/>
    <sheet name="TAKAFUL AMANA PENDAPATAN TETAP" sheetId="5" r:id="rId5"/>
    <sheet name="TAKAFUL EKUITA" sheetId="6" r:id="rId6"/>
  </sheets>
  <definedNames>
    <definedName name="_xlnm._FilterDatabase" localSheetId="4" hidden="1">'TAKAFUL AMANA PENDAPATAN TETAP'!$A$3:$K$102</definedName>
    <definedName name="_xlnm._FilterDatabase" localSheetId="5" hidden="1">'TAKAFUL EKUITA'!$A$3:$K$102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4" i="6" l="1"/>
  <c r="N102" i="6"/>
  <c r="M102" i="6"/>
  <c r="N100" i="6"/>
  <c r="N97" i="6"/>
  <c r="N96" i="6"/>
  <c r="N92" i="6"/>
  <c r="N91" i="6"/>
  <c r="M100" i="6"/>
  <c r="M97" i="6"/>
  <c r="M96" i="6"/>
  <c r="M92" i="6"/>
  <c r="M91" i="6"/>
  <c r="M89" i="6"/>
  <c r="M87" i="6"/>
  <c r="M85" i="6"/>
  <c r="M83" i="6"/>
  <c r="M81" i="6"/>
  <c r="M79" i="6"/>
  <c r="M77" i="6"/>
</calcChain>
</file>

<file path=xl/sharedStrings.xml><?xml version="1.0" encoding="utf-8"?>
<sst xmlns="http://schemas.openxmlformats.org/spreadsheetml/2006/main" count="1634" uniqueCount="275">
  <si>
    <t>RPT_APPLICATION_UL_CONTRIBUTION_RUNNING_BALANCE</t>
  </si>
  <si>
    <t>INVESTASI DANA ALIA</t>
  </si>
  <si>
    <t>INVESTASI DANA ISTIQOMAH</t>
  </si>
  <si>
    <t>INVESTASI DANA MIZAN</t>
  </si>
  <si>
    <t>TAKAFUL AMANA PENDAPATAN TETAP</t>
  </si>
  <si>
    <t>TAKAFUL EKUITA</t>
  </si>
  <si>
    <t>UNIT LINK TRANSACTION HISTORY</t>
  </si>
  <si>
    <t/>
  </si>
  <si>
    <r>
      <rPr>
        <sz val="7"/>
        <color rgb="FF000000"/>
        <rFont val="Arial"/>
      </rPr>
      <t xml:space="preserve">POLICY NO
</t>
    </r>
    <r>
      <rPr>
        <sz val="7"/>
        <color rgb="FF000000"/>
        <rFont val="Arial"/>
      </rPr>
      <t xml:space="preserve">FULLNAME
</t>
    </r>
    <r>
      <rPr>
        <sz val="7"/>
        <color rgb="FF000000"/>
        <rFont val="Arial"/>
      </rPr>
      <t xml:space="preserve">PERIOD
</t>
    </r>
    <r>
      <rPr>
        <sz val="7"/>
        <color rgb="FF000000"/>
        <rFont val="Arial"/>
      </rPr>
      <t xml:space="preserve">FUND NAME
</t>
    </r>
    <r>
      <rPr>
        <sz val="7"/>
        <color rgb="FF000000"/>
        <rFont val="Arial"/>
      </rPr>
      <t xml:space="preserve">UNIT BALANCE
</t>
    </r>
    <r>
      <rPr>
        <sz val="7"/>
        <color rgb="FF000000"/>
        <rFont val="Arial"/>
      </rPr>
      <t xml:space="preserve">AMOUNT BALANCE
</t>
    </r>
    <r>
      <rPr>
        <sz val="7"/>
        <color rgb="FF000000"/>
        <rFont val="Arial"/>
      </rPr>
      <t xml:space="preserve">LAST NAV
</t>
    </r>
    <r>
      <rPr>
        <sz val="7"/>
        <color rgb="FF000000"/>
        <rFont val="Arial"/>
      </rPr>
      <t>LAST NAV DATE</t>
    </r>
  </si>
  <si>
    <r>
      <rPr>
        <sz val="7"/>
        <color rgb="FF000000"/>
        <rFont val="Arial"/>
      </rPr>
      <t xml:space="preserve">: </t>
    </r>
    <r>
      <rPr>
        <b/>
        <sz val="7"/>
        <color rgb="FF000000"/>
        <rFont val="Arial"/>
      </rPr>
      <t xml:space="preserve">07201401292098
</t>
    </r>
    <r>
      <rPr>
        <sz val="7"/>
        <color rgb="FF000000"/>
        <rFont val="Arial"/>
      </rPr>
      <t xml:space="preserve">: </t>
    </r>
    <r>
      <rPr>
        <b/>
        <sz val="7"/>
        <color rgb="FF000000"/>
        <rFont val="Arial"/>
      </rPr>
      <t xml:space="preserve">MUHAMMAD TAUFIQ NASUTION
</t>
    </r>
    <r>
      <rPr>
        <sz val="7"/>
        <color rgb="FF000000"/>
        <rFont val="Arial"/>
      </rPr>
      <t xml:space="preserve">: </t>
    </r>
    <r>
      <rPr>
        <b/>
        <sz val="7"/>
        <color rgb="FF000000"/>
        <rFont val="Arial"/>
      </rPr>
      <t>25 Sep 2014</t>
    </r>
    <r>
      <rPr>
        <b/>
        <sz val="7"/>
        <color rgb="FF000000"/>
        <rFont val="Arial"/>
      </rPr>
      <t xml:space="preserve"> - </t>
    </r>
    <r>
      <rPr>
        <b/>
        <sz val="7"/>
        <color rgb="FF000000"/>
        <rFont val="Arial"/>
      </rPr>
      <t xml:space="preserve">24 Sep 2044
</t>
    </r>
    <r>
      <rPr>
        <sz val="7"/>
        <color rgb="FF000000"/>
        <rFont val="Arial"/>
      </rPr>
      <t xml:space="preserve">: </t>
    </r>
    <r>
      <rPr>
        <b/>
        <sz val="7"/>
        <color rgb="FF000000"/>
        <rFont val="Arial"/>
      </rPr>
      <t xml:space="preserve">INVESTASI DANA ALIA
</t>
    </r>
    <r>
      <rPr>
        <sz val="7"/>
        <color rgb="FF000000"/>
        <rFont val="Arial"/>
      </rPr>
      <t xml:space="preserve">: </t>
    </r>
    <r>
      <rPr>
        <b/>
        <sz val="7"/>
        <color rgb="FF0000FF"/>
        <rFont val="Arial"/>
      </rPr>
      <t xml:space="preserve">0.0002
</t>
    </r>
    <r>
      <rPr>
        <sz val="7"/>
        <color rgb="FF000000"/>
        <rFont val="Arial"/>
      </rPr>
      <t xml:space="preserve">: </t>
    </r>
    <r>
      <rPr>
        <b/>
        <sz val="7"/>
        <color rgb="FF006400"/>
        <rFont val="Arial"/>
      </rPr>
      <t xml:space="preserve">0.29
</t>
    </r>
    <r>
      <rPr>
        <sz val="7"/>
        <color rgb="FF000000"/>
        <rFont val="Arial"/>
      </rPr>
      <t xml:space="preserve">: </t>
    </r>
    <r>
      <rPr>
        <b/>
        <sz val="7"/>
        <color rgb="FFFF0000"/>
        <rFont val="Arial"/>
      </rPr>
      <t xml:space="preserve">1,654.9301
</t>
    </r>
    <r>
      <rPr>
        <sz val="7"/>
        <color rgb="FF000000"/>
        <rFont val="Arial"/>
      </rPr>
      <t xml:space="preserve">: </t>
    </r>
    <r>
      <rPr>
        <b/>
        <sz val="7"/>
        <color rgb="FFFF0000"/>
        <rFont val="Arial"/>
      </rPr>
      <t>4 Sep 2020</t>
    </r>
  </si>
  <si>
    <t>NO</t>
  </si>
  <si>
    <r>
      <rPr>
        <sz val="7"/>
        <color rgb="FFFFFFFF"/>
        <rFont val="Arial"/>
      </rPr>
      <t xml:space="preserve">TRX
</t>
    </r>
    <r>
      <rPr>
        <sz val="7"/>
        <color rgb="FFFFFFFF"/>
        <rFont val="Arial"/>
      </rPr>
      <t>DATE</t>
    </r>
  </si>
  <si>
    <t>TRX TYPE</t>
  </si>
  <si>
    <t>DC</t>
  </si>
  <si>
    <r>
      <rPr>
        <sz val="7"/>
        <color rgb="FFFFFFFF"/>
        <rFont val="Arial"/>
      </rPr>
      <t xml:space="preserve">TRX
</t>
    </r>
    <r>
      <rPr>
        <sz val="7"/>
        <color rgb="FFFFFFFF"/>
        <rFont val="Arial"/>
      </rPr>
      <t>AMOUNT</t>
    </r>
  </si>
  <si>
    <r>
      <rPr>
        <sz val="7"/>
        <color rgb="FFFFFFFF"/>
        <rFont val="Arial"/>
      </rPr>
      <t xml:space="preserve">TRX
</t>
    </r>
    <r>
      <rPr>
        <sz val="7"/>
        <color rgb="FFFFFFFF"/>
        <rFont val="Arial"/>
      </rPr>
      <t>UNIT</t>
    </r>
  </si>
  <si>
    <r>
      <rPr>
        <sz val="7"/>
        <color rgb="FFFFFFFF"/>
        <rFont val="Arial"/>
      </rPr>
      <t xml:space="preserve">UNIT
</t>
    </r>
    <r>
      <rPr>
        <sz val="7"/>
        <color rgb="FFFFFFFF"/>
        <rFont val="Arial"/>
      </rPr>
      <t xml:space="preserve"> BALANCE</t>
    </r>
  </si>
  <si>
    <r>
      <rPr>
        <sz val="7"/>
        <color rgb="FFFFFFFF"/>
        <rFont val="Arial"/>
      </rPr>
      <t xml:space="preserve">NAV
</t>
    </r>
    <r>
      <rPr>
        <sz val="7"/>
        <color rgb="FFFFFFFF"/>
        <rFont val="Arial"/>
      </rPr>
      <t>DATE</t>
    </r>
  </si>
  <si>
    <t>NAV</t>
  </si>
  <si>
    <r>
      <rPr>
        <sz val="7"/>
        <color rgb="FFFFFFFF"/>
        <rFont val="Arial"/>
      </rPr>
      <t xml:space="preserve">PROCESS
</t>
    </r>
    <r>
      <rPr>
        <sz val="7"/>
        <color rgb="FFFFFFFF"/>
        <rFont val="Arial"/>
      </rPr>
      <t>DATE</t>
    </r>
  </si>
  <si>
    <t>PREMIUM PERTAMA STANDARD tahun ke 1</t>
  </si>
  <si>
    <t>C</t>
  </si>
  <si>
    <t>PREMIUM TOPUP STANDARD tahun ke 1</t>
  </si>
  <si>
    <t>TABARRU tahun ke 1 bulan ke 1</t>
  </si>
  <si>
    <t>D</t>
  </si>
  <si>
    <t>PREMIUM LANJUTAN STANDARD tahun ke 1</t>
  </si>
  <si>
    <t>TABARRU tahun ke 1 bulan ke 2</t>
  </si>
  <si>
    <t>TABARRU tahun ke 1 bulan ke 3</t>
  </si>
  <si>
    <t>TABARRU tahun ke 1 bulan ke 4</t>
  </si>
  <si>
    <t>TABARRU tahun ke 1 bulan ke 5</t>
  </si>
  <si>
    <t>TABARRU tahun ke 1 bulan ke 6</t>
  </si>
  <si>
    <t>TABARRU tahun ke 1 bulan ke 7</t>
  </si>
  <si>
    <t>TABARRU tahun ke 1 bulan ke 8</t>
  </si>
  <si>
    <t>TABARRU tahun ke 1 bulan ke 9</t>
  </si>
  <si>
    <t>TABARRU tahun ke 1 bulan ke 10</t>
  </si>
  <si>
    <t>TABARRU tahun ke 1 bulan ke 11</t>
  </si>
  <si>
    <t>TABARRU tahun ke 1 bulan ke 12</t>
  </si>
  <si>
    <t>PREMIUM LANJUTAN STANDARD tahun ke 2</t>
  </si>
  <si>
    <t>PREMIUM TOPUP STANDARD tahun ke 2</t>
  </si>
  <si>
    <t>TABARRU tahun ke 2 bulan ke 1</t>
  </si>
  <si>
    <t>MONTHLY FEE tahun ke 2 bulan ke 1</t>
  </si>
  <si>
    <t>TABARRU tahun ke 2 bulan ke 2</t>
  </si>
  <si>
    <t>MONTHLY FEE tahun ke 2 bulan ke 2</t>
  </si>
  <si>
    <t>TABARRU tahun ke 2 bulan ke 3</t>
  </si>
  <si>
    <t>MONTHLY FEE tahun ke 2 bulan ke 3</t>
  </si>
  <si>
    <t>SWITCHING - PEMBELIAN</t>
  </si>
  <si>
    <t>TABARRU tahun ke 2 bulan ke 4</t>
  </si>
  <si>
    <t>MONTHLY FEE tahun ke 2 bulan ke 4</t>
  </si>
  <si>
    <t>TABARRU tahun ke 2 bulan ke 5</t>
  </si>
  <si>
    <t>MONTHLY FEE tahun ke 2 bulan ke 5</t>
  </si>
  <si>
    <t>TABARRU tahun ke 2 bulan ke 6</t>
  </si>
  <si>
    <t>MONTHLY FEE tahun ke 2 bulan ke 6</t>
  </si>
  <si>
    <t>TABARRU tahun ke 2 bulan ke 7</t>
  </si>
  <si>
    <t>MONTHLY FEE tahun ke 2 bulan ke 7</t>
  </si>
  <si>
    <t>TABARRU tahun ke 2 bulan ke 8</t>
  </si>
  <si>
    <t>MONTHLY FEE tahun ke 2 bulan ke 8</t>
  </si>
  <si>
    <t>TABARRU tahun ke 2 bulan ke 9</t>
  </si>
  <si>
    <t>MONTHLY FEE tahun ke 2 bulan ke 9</t>
  </si>
  <si>
    <t>TABARRU tahun ke 2 bulan ke 10</t>
  </si>
  <si>
    <t>MONTHLY FEE tahun ke 2 bulan ke 10</t>
  </si>
  <si>
    <t>TABARRU tahun ke 2 bulan ke 11</t>
  </si>
  <si>
    <t>MONTHLY FEE tahun ke 2 bulan ke 11</t>
  </si>
  <si>
    <t>TABARRU tahun ke 2 bulan ke 12</t>
  </si>
  <si>
    <t>MONTHLY FEE tahun ke 2 bulan ke 12</t>
  </si>
  <si>
    <t>SALDO AWAL - REDATING</t>
  </si>
  <si>
    <t>PREMIUM LANJUTAN STANDARD tahun ke 3</t>
  </si>
  <si>
    <t>PREMIUM TOPUP STANDARD tahun ke 3</t>
  </si>
  <si>
    <t>TABARRU tahun ke 3 bulan ke 1</t>
  </si>
  <si>
    <t>MONTHLY FEE tahun ke 3 bulan ke 1</t>
  </si>
  <si>
    <t>TABARRU tahun ke 3 bulan ke 2</t>
  </si>
  <si>
    <t>MONTHLY FEE tahun ke 3 bulan ke 2</t>
  </si>
  <si>
    <t>TABARRU tahun ke 3 bulan ke 3</t>
  </si>
  <si>
    <t>MONTHLY FEE tahun ke 3 bulan ke 3</t>
  </si>
  <si>
    <t>TABARRU tahun ke 3 bulan ke 4</t>
  </si>
  <si>
    <t>MONTHLY FEE tahun ke 3 bulan ke 4</t>
  </si>
  <si>
    <t>TABARRU tahun ke 3 bulan ke 5</t>
  </si>
  <si>
    <t>MONTHLY FEE tahun ke 3 bulan ke 5</t>
  </si>
  <si>
    <t>TABARRU tahun ke 3 bulan ke 6</t>
  </si>
  <si>
    <t>MONTHLY FEE tahun ke 3 bulan ke 6</t>
  </si>
  <si>
    <t>TABARRU tahun ke 3 bulan ke 7</t>
  </si>
  <si>
    <t>MONTHLY FEE tahun ke 3 bulan ke 7</t>
  </si>
  <si>
    <t>TABARRU tahun ke 3 bulan ke 8</t>
  </si>
  <si>
    <t>MONTHLY FEE tahun ke 3 bulan ke 8</t>
  </si>
  <si>
    <t>TABARRU tahun ke 3 bulan ke 9</t>
  </si>
  <si>
    <t>MONTHLY FEE tahun ke 3 bulan ke 9</t>
  </si>
  <si>
    <t>TABARRU tahun ke 3 bulan ke 10</t>
  </si>
  <si>
    <t>MONTHLY FEE tahun ke 3 bulan ke 10</t>
  </si>
  <si>
    <t>TABARRU tahun ke 3 bulan ke 11</t>
  </si>
  <si>
    <t>MONTHLY FEE tahun ke 3 bulan ke 11</t>
  </si>
  <si>
    <t>TABARRU tahun ke 3 bulan ke 12</t>
  </si>
  <si>
    <t>MONTHLY FEE tahun ke 3 bulan ke 12</t>
  </si>
  <si>
    <t>PREMIUM LANJUTAN STANDARD tahun ke 4</t>
  </si>
  <si>
    <t>PREMIUM TOPUP STANDARD tahun ke 4</t>
  </si>
  <si>
    <t>TABARRU tahun ke 4 bulan ke 1</t>
  </si>
  <si>
    <t>MONTHLY FEE tahun ke 4 bulan ke 1</t>
  </si>
  <si>
    <t>TABARRU tahun ke 4 bulan ke 2</t>
  </si>
  <si>
    <t>MONTHLY FEE tahun ke 4 bulan ke 2</t>
  </si>
  <si>
    <t>TABARRU tahun ke 4 bulan ke 3</t>
  </si>
  <si>
    <t>MONTHLY FEE tahun ke 4 bulan ke 3</t>
  </si>
  <si>
    <t>TABARRU tahun ke 4 bulan ke 4</t>
  </si>
  <si>
    <t>MONTHLY FEE tahun ke 4 bulan ke 4</t>
  </si>
  <si>
    <t>TABARRU tahun ke 4 bulan ke 5</t>
  </si>
  <si>
    <t>MONTHLY FEE tahun ke 4 bulan ke 5</t>
  </si>
  <si>
    <t>TABARRU tahun ke 4 bulan ke 6</t>
  </si>
  <si>
    <t>MONTHLY FEE tahun ke 4 bulan ke 6</t>
  </si>
  <si>
    <t>TABARRU tahun ke 4 bulan ke 7</t>
  </si>
  <si>
    <t>MONTHLY FEE tahun ke 4 bulan ke 7</t>
  </si>
  <si>
    <t>TABARRU tahun ke 4 bulan ke 8</t>
  </si>
  <si>
    <t>MONTHLY FEE tahun ke 4 bulan ke 8</t>
  </si>
  <si>
    <t>TABARRU tahun ke 4 bulan ke 9</t>
  </si>
  <si>
    <t>MONTHLY FEE tahun ke 4 bulan ke 9</t>
  </si>
  <si>
    <t>TABARRU tahun ke 4 bulan ke 10</t>
  </si>
  <si>
    <t>MONTHLY FEE tahun ke 4 bulan ke 10</t>
  </si>
  <si>
    <t>TABARRU tahun ke 4 bulan ke 11</t>
  </si>
  <si>
    <t>MONTHLY FEE tahun ke 4 bulan ke 11</t>
  </si>
  <si>
    <t>TABARRU tahun ke 4 bulan ke 12</t>
  </si>
  <si>
    <t>MONTHLY FEE tahun ke 4 bulan ke 12</t>
  </si>
  <si>
    <t>PREMIUM LANJUTAN STANDARD tahun ke 5</t>
  </si>
  <si>
    <t>PREMIUM TOPUP STANDARD tahun ke 5</t>
  </si>
  <si>
    <t>TABARRU tahun ke 5 bulan ke 1</t>
  </si>
  <si>
    <t>MONTHLY FEE tahun ke 5 bulan ke 1</t>
  </si>
  <si>
    <t>TABARRU tahun ke 5 bulan ke 2</t>
  </si>
  <si>
    <t>MONTHLY FEE tahun ke 5 bulan ke 2</t>
  </si>
  <si>
    <t>TABARRU tahun ke 5 bulan ke 3</t>
  </si>
  <si>
    <t>MONTHLY FEE tahun ke 5 bulan ke 3</t>
  </si>
  <si>
    <t>TABARRU tahun ke 5 bulan ke 4</t>
  </si>
  <si>
    <t>MONTHLY FEE tahun ke 5 bulan ke 4</t>
  </si>
  <si>
    <t>TABARRU tahun ke 5 bulan ke 5</t>
  </si>
  <si>
    <t>MONTHLY FEE tahun ke 5 bulan ke 5</t>
  </si>
  <si>
    <t>TABARRU tahun ke 5 bulan ke 6</t>
  </si>
  <si>
    <t>MONTHLY FEE tahun ke 5 bulan ke 6</t>
  </si>
  <si>
    <t>TABARRU tahun ke 5 bulan ke 7</t>
  </si>
  <si>
    <t>MONTHLY FEE tahun ke 5 bulan ke 7</t>
  </si>
  <si>
    <t>TABARRU tahun ke 5 bulan ke 8</t>
  </si>
  <si>
    <t>MONTHLY FEE tahun ke 5 bulan ke 8</t>
  </si>
  <si>
    <t>TABARRU tahun ke 5 bulan ke 9</t>
  </si>
  <si>
    <t>MONTHLY FEE tahun ke 5 bulan ke 9</t>
  </si>
  <si>
    <t>TABARRU tahun ke 5 bulan ke 10</t>
  </si>
  <si>
    <t>MONTHLY FEE tahun ke 5 bulan ke 10</t>
  </si>
  <si>
    <t>TABARRU tahun ke 5 bulan ke 11</t>
  </si>
  <si>
    <t>MONTHLY FEE tahun ke 5 bulan ke 11</t>
  </si>
  <si>
    <t>TABARRU tahun ke 5 bulan ke 12</t>
  </si>
  <si>
    <t>MONTHLY FEE tahun ke 5 bulan ke 12</t>
  </si>
  <si>
    <t>PREMIUM LANJUTAN STANDARD tahun ke 6</t>
  </si>
  <si>
    <t>PREMIUM TOPUP STANDARD tahun ke 6</t>
  </si>
  <si>
    <t>TABARRU tahun ke 6 bulan ke 1</t>
  </si>
  <si>
    <t>MONTHLY FEE tahun ke 6 bulan ke 1</t>
  </si>
  <si>
    <t>TABARRU tahun ke 6 bulan ke 2</t>
  </si>
  <si>
    <t>MONTHLY FEE tahun ke 6 bulan ke 2</t>
  </si>
  <si>
    <t>TABARRU tahun ke 6 bulan ke 3</t>
  </si>
  <si>
    <t>MONTHLY FEE tahun ke 6 bulan ke 3</t>
  </si>
  <si>
    <t>TABARRU tahun ke 6 bulan ke 4</t>
  </si>
  <si>
    <t>MONTHLY FEE tahun ke 6 bulan ke 4</t>
  </si>
  <si>
    <t>TABARRU tahun ke 6 bulan ke 5</t>
  </si>
  <si>
    <t>MONTHLY FEE tahun ke 6 bulan ke 5</t>
  </si>
  <si>
    <t>TABARRU tahun ke 6 bulan ke 6</t>
  </si>
  <si>
    <t>MONTHLY FEE tahun ke 6 bulan ke 6</t>
  </si>
  <si>
    <t>TABARRU tahun ke 6 bulan ke 7</t>
  </si>
  <si>
    <t>MONTHLY FEE tahun ke 6 bulan ke 7</t>
  </si>
  <si>
    <t>TABARRU tahun ke 6 bulan ke 8</t>
  </si>
  <si>
    <t>MONTHLY FEE tahun ke 6 bulan ke 8</t>
  </si>
  <si>
    <t>TABARRU tahun ke 6 bulan ke 9</t>
  </si>
  <si>
    <t>MONTHLY FEE tahun ke 6 bulan ke 9</t>
  </si>
  <si>
    <t>TABARRU tahun ke 6 bulan ke 10</t>
  </si>
  <si>
    <t>MONTHLY FEE tahun ke 6 bulan ke 10</t>
  </si>
  <si>
    <t>TABARRU tahun ke 6 bulan ke 11</t>
  </si>
  <si>
    <t>MONTHLY FEE tahun ke 6 bulan ke 11</t>
  </si>
  <si>
    <t>TABARRU tahun ke 6 bulan ke 12</t>
  </si>
  <si>
    <t>MONTHLY FEE tahun ke 6 bulan ke 12</t>
  </si>
  <si>
    <t>PENARIKAN DANA TABUNGAN</t>
  </si>
  <si>
    <t>PREMIUM LANJUTAN STANDARD tahun ke 7</t>
  </si>
  <si>
    <t>PREMIUM TOPUP STANDARD tahun ke 7</t>
  </si>
  <si>
    <r>
      <rPr>
        <sz val="7"/>
        <color rgb="FF000000"/>
        <rFont val="Arial"/>
      </rPr>
      <t xml:space="preserve">: </t>
    </r>
    <r>
      <rPr>
        <b/>
        <sz val="7"/>
        <color rgb="FF000000"/>
        <rFont val="Arial"/>
      </rPr>
      <t xml:space="preserve">07201401292098
</t>
    </r>
    <r>
      <rPr>
        <sz val="7"/>
        <color rgb="FF000000"/>
        <rFont val="Arial"/>
      </rPr>
      <t xml:space="preserve">: </t>
    </r>
    <r>
      <rPr>
        <b/>
        <sz val="7"/>
        <color rgb="FF000000"/>
        <rFont val="Arial"/>
      </rPr>
      <t xml:space="preserve">MUHAMMAD TAUFIQ NASUTION
</t>
    </r>
    <r>
      <rPr>
        <sz val="7"/>
        <color rgb="FF000000"/>
        <rFont val="Arial"/>
      </rPr>
      <t xml:space="preserve">: </t>
    </r>
    <r>
      <rPr>
        <b/>
        <sz val="7"/>
        <color rgb="FF000000"/>
        <rFont val="Arial"/>
      </rPr>
      <t>25 Sep 2014</t>
    </r>
    <r>
      <rPr>
        <b/>
        <sz val="7"/>
        <color rgb="FF000000"/>
        <rFont val="Arial"/>
      </rPr>
      <t xml:space="preserve"> - </t>
    </r>
    <r>
      <rPr>
        <b/>
        <sz val="7"/>
        <color rgb="FF000000"/>
        <rFont val="Arial"/>
      </rPr>
      <t xml:space="preserve">24 Sep 2044
</t>
    </r>
    <r>
      <rPr>
        <sz val="7"/>
        <color rgb="FF000000"/>
        <rFont val="Arial"/>
      </rPr>
      <t xml:space="preserve">: </t>
    </r>
    <r>
      <rPr>
        <b/>
        <sz val="7"/>
        <color rgb="FF000000"/>
        <rFont val="Arial"/>
      </rPr>
      <t xml:space="preserve">INVESTASI DANA ISTIQOMAH
</t>
    </r>
    <r>
      <rPr>
        <sz val="7"/>
        <color rgb="FF000000"/>
        <rFont val="Arial"/>
      </rPr>
      <t xml:space="preserve">: </t>
    </r>
    <r>
      <rPr>
        <b/>
        <sz val="7"/>
        <color rgb="FF0000FF"/>
        <rFont val="Arial"/>
      </rPr>
      <t xml:space="preserve">0.0000
</t>
    </r>
    <r>
      <rPr>
        <sz val="7"/>
        <color rgb="FF000000"/>
        <rFont val="Arial"/>
      </rPr>
      <t xml:space="preserve">: </t>
    </r>
    <r>
      <rPr>
        <b/>
        <sz val="7"/>
        <color rgb="FF006400"/>
        <rFont val="Arial"/>
      </rPr>
      <t xml:space="preserve">0.00
</t>
    </r>
    <r>
      <rPr>
        <sz val="7"/>
        <color rgb="FF000000"/>
        <rFont val="Arial"/>
      </rPr>
      <t xml:space="preserve">: </t>
    </r>
    <r>
      <rPr>
        <b/>
        <sz val="7"/>
        <color rgb="FFFF0000"/>
        <rFont val="Arial"/>
      </rPr>
      <t xml:space="preserve">2,135.2904
</t>
    </r>
    <r>
      <rPr>
        <sz val="7"/>
        <color rgb="FF000000"/>
        <rFont val="Arial"/>
      </rPr>
      <t xml:space="preserve">: </t>
    </r>
    <r>
      <rPr>
        <b/>
        <sz val="7"/>
        <color rgb="FFFF0000"/>
        <rFont val="Arial"/>
      </rPr>
      <t>4 Sep 2020</t>
    </r>
  </si>
  <si>
    <r>
      <rPr>
        <sz val="7"/>
        <color rgb="FF000000"/>
        <rFont val="Arial"/>
      </rPr>
      <t xml:space="preserve">: </t>
    </r>
    <r>
      <rPr>
        <b/>
        <sz val="7"/>
        <color rgb="FF000000"/>
        <rFont val="Arial"/>
      </rPr>
      <t xml:space="preserve">07201401292098
</t>
    </r>
    <r>
      <rPr>
        <sz val="7"/>
        <color rgb="FF000000"/>
        <rFont val="Arial"/>
      </rPr>
      <t xml:space="preserve">: </t>
    </r>
    <r>
      <rPr>
        <b/>
        <sz val="7"/>
        <color rgb="FF000000"/>
        <rFont val="Arial"/>
      </rPr>
      <t xml:space="preserve">MUHAMMAD TAUFIQ NASUTION
</t>
    </r>
    <r>
      <rPr>
        <sz val="7"/>
        <color rgb="FF000000"/>
        <rFont val="Arial"/>
      </rPr>
      <t xml:space="preserve">: </t>
    </r>
    <r>
      <rPr>
        <b/>
        <sz val="7"/>
        <color rgb="FF000000"/>
        <rFont val="Arial"/>
      </rPr>
      <t>25 Sep 2014</t>
    </r>
    <r>
      <rPr>
        <b/>
        <sz val="7"/>
        <color rgb="FF000000"/>
        <rFont val="Arial"/>
      </rPr>
      <t xml:space="preserve"> - </t>
    </r>
    <r>
      <rPr>
        <b/>
        <sz val="7"/>
        <color rgb="FF000000"/>
        <rFont val="Arial"/>
      </rPr>
      <t xml:space="preserve">24 Sep 2044
</t>
    </r>
    <r>
      <rPr>
        <sz val="7"/>
        <color rgb="FF000000"/>
        <rFont val="Arial"/>
      </rPr>
      <t xml:space="preserve">: </t>
    </r>
    <r>
      <rPr>
        <b/>
        <sz val="7"/>
        <color rgb="FF000000"/>
        <rFont val="Arial"/>
      </rPr>
      <t xml:space="preserve">INVESTASI DANA MIZAN
</t>
    </r>
    <r>
      <rPr>
        <sz val="7"/>
        <color rgb="FF000000"/>
        <rFont val="Arial"/>
      </rPr>
      <t xml:space="preserve">: </t>
    </r>
    <r>
      <rPr>
        <b/>
        <sz val="7"/>
        <color rgb="FF0000FF"/>
        <rFont val="Arial"/>
      </rPr>
      <t xml:space="preserve">0.0000
</t>
    </r>
    <r>
      <rPr>
        <sz val="7"/>
        <color rgb="FF000000"/>
        <rFont val="Arial"/>
      </rPr>
      <t xml:space="preserve">: </t>
    </r>
    <r>
      <rPr>
        <b/>
        <sz val="7"/>
        <color rgb="FF006400"/>
        <rFont val="Arial"/>
      </rPr>
      <t xml:space="preserve">- 0.05
</t>
    </r>
    <r>
      <rPr>
        <sz val="7"/>
        <color rgb="FF000000"/>
        <rFont val="Arial"/>
      </rPr>
      <t xml:space="preserve">: </t>
    </r>
    <r>
      <rPr>
        <b/>
        <sz val="7"/>
        <color rgb="FFFF0000"/>
        <rFont val="Arial"/>
      </rPr>
      <t xml:space="preserve">1,454.8081
</t>
    </r>
    <r>
      <rPr>
        <sz val="7"/>
        <color rgb="FF000000"/>
        <rFont val="Arial"/>
      </rPr>
      <t xml:space="preserve">: </t>
    </r>
    <r>
      <rPr>
        <b/>
        <sz val="7"/>
        <color rgb="FFFF0000"/>
        <rFont val="Arial"/>
      </rPr>
      <t>4 Sep 2020</t>
    </r>
  </si>
  <si>
    <t>SWITCHING - PENJUALAN</t>
  </si>
  <si>
    <r>
      <rPr>
        <sz val="7"/>
        <color rgb="FF000000"/>
        <rFont val="Arial"/>
      </rPr>
      <t xml:space="preserve">: </t>
    </r>
    <r>
      <rPr>
        <b/>
        <sz val="7"/>
        <color rgb="FF000000"/>
        <rFont val="Arial"/>
      </rPr>
      <t xml:space="preserve">07201401292098
</t>
    </r>
    <r>
      <rPr>
        <sz val="7"/>
        <color rgb="FF000000"/>
        <rFont val="Arial"/>
      </rPr>
      <t xml:space="preserve">: </t>
    </r>
    <r>
      <rPr>
        <b/>
        <sz val="7"/>
        <color rgb="FF000000"/>
        <rFont val="Arial"/>
      </rPr>
      <t xml:space="preserve">MUHAMMAD TAUFIQ NASUTION
</t>
    </r>
    <r>
      <rPr>
        <sz val="7"/>
        <color rgb="FF000000"/>
        <rFont val="Arial"/>
      </rPr>
      <t xml:space="preserve">: </t>
    </r>
    <r>
      <rPr>
        <b/>
        <sz val="7"/>
        <color rgb="FF000000"/>
        <rFont val="Arial"/>
      </rPr>
      <t>25 Sep 2014</t>
    </r>
    <r>
      <rPr>
        <b/>
        <sz val="7"/>
        <color rgb="FF000000"/>
        <rFont val="Arial"/>
      </rPr>
      <t xml:space="preserve"> - </t>
    </r>
    <r>
      <rPr>
        <b/>
        <sz val="7"/>
        <color rgb="FF000000"/>
        <rFont val="Arial"/>
      </rPr>
      <t xml:space="preserve">24 Sep 2044
</t>
    </r>
    <r>
      <rPr>
        <sz val="7"/>
        <color rgb="FF000000"/>
        <rFont val="Arial"/>
      </rPr>
      <t xml:space="preserve">: </t>
    </r>
    <r>
      <rPr>
        <b/>
        <sz val="7"/>
        <color rgb="FF000000"/>
        <rFont val="Arial"/>
      </rPr>
      <t xml:space="preserve">TAKAFUL AMANA PENDAPATAN TETAP
</t>
    </r>
    <r>
      <rPr>
        <sz val="7"/>
        <color rgb="FF000000"/>
        <rFont val="Arial"/>
      </rPr>
      <t xml:space="preserve">: </t>
    </r>
    <r>
      <rPr>
        <b/>
        <sz val="7"/>
        <color rgb="FF0000FF"/>
        <rFont val="Arial"/>
      </rPr>
      <t xml:space="preserve">6,091.5714
</t>
    </r>
    <r>
      <rPr>
        <sz val="7"/>
        <color rgb="FF000000"/>
        <rFont val="Arial"/>
      </rPr>
      <t xml:space="preserve">: </t>
    </r>
    <r>
      <rPr>
        <b/>
        <sz val="7"/>
        <color rgb="FF006400"/>
        <rFont val="Arial"/>
      </rPr>
      <t xml:space="preserve">6,995,912.65
</t>
    </r>
    <r>
      <rPr>
        <sz val="7"/>
        <color rgb="FF000000"/>
        <rFont val="Arial"/>
      </rPr>
      <t xml:space="preserve">: </t>
    </r>
    <r>
      <rPr>
        <b/>
        <sz val="7"/>
        <color rgb="FFFF0000"/>
        <rFont val="Arial"/>
      </rPr>
      <t xml:space="preserve">1,148.4578
</t>
    </r>
    <r>
      <rPr>
        <sz val="7"/>
        <color rgb="FF000000"/>
        <rFont val="Arial"/>
      </rPr>
      <t xml:space="preserve">: </t>
    </r>
    <r>
      <rPr>
        <b/>
        <sz val="7"/>
        <color rgb="FFFF0000"/>
        <rFont val="Arial"/>
      </rPr>
      <t>21 Oct 2024</t>
    </r>
  </si>
  <si>
    <t>TABARRU tahun ke 7 bulan ke 1</t>
  </si>
  <si>
    <t>MONTHLY FEE tahun ke 7 bulan ke 1</t>
  </si>
  <si>
    <t>TABARRU tahun ke 7 bulan ke 2</t>
  </si>
  <si>
    <t>MONTHLY FEE tahun ke 7 bulan ke 2</t>
  </si>
  <si>
    <t>TABARRU tahun ke 7 bulan ke 3</t>
  </si>
  <si>
    <t>MONTHLY FEE tahun ke 7 bulan ke 3</t>
  </si>
  <si>
    <t>TABARRU tahun ke 7 bulan ke 4</t>
  </si>
  <si>
    <t>MONTHLY FEE tahun ke 7 bulan ke 4</t>
  </si>
  <si>
    <t>TABARRU tahun ke 7 bulan ke 5</t>
  </si>
  <si>
    <t>MONTHLY FEE tahun ke 7 bulan ke 5</t>
  </si>
  <si>
    <t>TABARRU tahun ke 7 bulan ke 6</t>
  </si>
  <si>
    <t>MONTHLY FEE tahun ke 7 bulan ke 6</t>
  </si>
  <si>
    <t>TABARRU tahun ke 7 bulan ke 7</t>
  </si>
  <si>
    <t>MONTHLY FEE tahun ke 7 bulan ke 7</t>
  </si>
  <si>
    <t>TABARRU tahun ke 7 bulan ke 8</t>
  </si>
  <si>
    <t>MONTHLY FEE tahun ke 7 bulan ke 8</t>
  </si>
  <si>
    <t>TABARRU tahun ke 7 bulan ke 9</t>
  </si>
  <si>
    <t>MONTHLY FEE tahun ke 7 bulan ke 9</t>
  </si>
  <si>
    <t>TABARRU tahun ke 7 bulan ke 10</t>
  </si>
  <si>
    <t>MONTHLY FEE tahun ke 7 bulan ke 10</t>
  </si>
  <si>
    <t>TABARRU tahun ke 7 bulan ke 11</t>
  </si>
  <si>
    <t>MONTHLY FEE tahun ke 7 bulan ke 11</t>
  </si>
  <si>
    <t>TABARRU tahun ke 7 bulan ke 12</t>
  </si>
  <si>
    <t>MONTHLY FEE tahun ke 7 bulan ke 12</t>
  </si>
  <si>
    <t>TABARRU tahun ke 8 bulan ke 1</t>
  </si>
  <si>
    <t>MONTHLY FEE tahun ke 8 bulan ke 1</t>
  </si>
  <si>
    <t>TABARRU tahun ke 8 bulan ke 2</t>
  </si>
  <si>
    <t>MONTHLY FEE tahun ke 8 bulan ke 2</t>
  </si>
  <si>
    <t>TABARRU tahun ke 8 bulan ke 3</t>
  </si>
  <si>
    <t>MONTHLY FEE tahun ke 8 bulan ke 3</t>
  </si>
  <si>
    <t>TABARRU tahun ke 8 bulan ke 4</t>
  </si>
  <si>
    <t>MONTHLY FEE tahun ke 8 bulan ke 4</t>
  </si>
  <si>
    <t>TABARRU tahun ke 8 bulan ke 5</t>
  </si>
  <si>
    <t>MONTHLY FEE tahun ke 8 bulan ke 5</t>
  </si>
  <si>
    <t>TABARRU tahun ke 8 bulan ke 6</t>
  </si>
  <si>
    <t>MONTHLY FEE tahun ke 8 bulan ke 6</t>
  </si>
  <si>
    <t>TABARRU tahun ke 8 bulan ke 7</t>
  </si>
  <si>
    <t>MONTHLY FEE tahun ke 8 bulan ke 7</t>
  </si>
  <si>
    <t>TABARRU tahun ke 8 bulan ke 8</t>
  </si>
  <si>
    <t>MONTHLY FEE tahun ke 8 bulan ke 8</t>
  </si>
  <si>
    <t>TABARRU tahun ke 8 bulan ke 9</t>
  </si>
  <si>
    <t>MONTHLY FEE tahun ke 8 bulan ke 9</t>
  </si>
  <si>
    <t>TABARRU tahun ke 8 bulan ke 10</t>
  </si>
  <si>
    <t>MONTHLY FEE tahun ke 8 bulan ke 10</t>
  </si>
  <si>
    <t>TABARRU tahun ke 8 bulan ke 12</t>
  </si>
  <si>
    <t>MONTHLY FEE tahun ke 8 bulan ke 12</t>
  </si>
  <si>
    <t>TABARRU tahun ke 9 bulan ke 1</t>
  </si>
  <si>
    <t>MONTHLY FEE tahun ke 9 bulan ke 1</t>
  </si>
  <si>
    <t>TABARRU tahun ke 9 bulan ke 2</t>
  </si>
  <si>
    <t>MONTHLY FEE tahun ke 9 bulan ke 2</t>
  </si>
  <si>
    <t>TABARRU tahun ke 9 bulan ke 3</t>
  </si>
  <si>
    <t>MONTHLY FEE tahun ke 9 bulan ke 3</t>
  </si>
  <si>
    <t>TABARRU tahun ke 9 bulan ke 5</t>
  </si>
  <si>
    <t>MONTHLY FEE tahun ke 9 bulan ke 5</t>
  </si>
  <si>
    <t>TABARRU tahun ke 9 bulan ke 6</t>
  </si>
  <si>
    <t>MONTHLY FEE tahun ke 9 bulan ke 6</t>
  </si>
  <si>
    <t>TABARRU tahun ke 9 bulan ke 7</t>
  </si>
  <si>
    <t>MONTHLY FEE tahun ke 9 bulan ke 7</t>
  </si>
  <si>
    <t>TABARRU tahun ke 9 bulan ke 8</t>
  </si>
  <si>
    <t>MONTHLY FEE tahun ke 9 bulan ke 8</t>
  </si>
  <si>
    <t>TABARRU tahun ke 9 bulan ke 9</t>
  </si>
  <si>
    <t>MONTHLY FEE tahun ke 9 bulan ke 9</t>
  </si>
  <si>
    <t>TABARRU tahun ke 9 bulan ke 10</t>
  </si>
  <si>
    <t>MONTHLY FEE tahun ke 9 bulan ke 10</t>
  </si>
  <si>
    <t>TABARRU tahun ke 9 bulan ke 11</t>
  </si>
  <si>
    <t>MONTHLY FEE tahun ke 9 bulan ke 11</t>
  </si>
  <si>
    <t>TABARRU tahun ke 9 bulan ke 12</t>
  </si>
  <si>
    <t>MONTHLY FEE tahun ke 9 bulan ke 12</t>
  </si>
  <si>
    <t>TABARRU tahun ke 10 bulan ke 1</t>
  </si>
  <si>
    <t>MONTHLY FEE tahun ke 10 bulan ke 1</t>
  </si>
  <si>
    <t>TABARRU tahun ke 10 bulan ke 2</t>
  </si>
  <si>
    <t>MONTHLY FEE tahun ke 10 bulan ke 2</t>
  </si>
  <si>
    <t>TABARRU tahun ke 10 bulan ke 3</t>
  </si>
  <si>
    <t>MONTHLY FEE tahun ke 10 bulan ke 3</t>
  </si>
  <si>
    <t>TABARRU tahun ke 10 bulan ke 4</t>
  </si>
  <si>
    <t>MONTHLY FEE tahun ke 10 bulan ke 4</t>
  </si>
  <si>
    <t>TABARRU tahun ke 10 bulan ke 5</t>
  </si>
  <si>
    <t>MONTHLY FEE tahun ke 10 bulan ke 5</t>
  </si>
  <si>
    <t>TABARRU tahun ke 10 bulan ke 6</t>
  </si>
  <si>
    <t>MONTHLY FEE tahun ke 10 bulan ke 6</t>
  </si>
  <si>
    <t>TABARRU tahun ke 10 bulan ke 7</t>
  </si>
  <si>
    <t>MONTHLY FEE tahun ke 10 bulan ke 7</t>
  </si>
  <si>
    <t>TABARRU tahun ke 10 bulan ke 8</t>
  </si>
  <si>
    <t>TABARRU tahun ke 10 bulan ke 9</t>
  </si>
  <si>
    <t>MONTHLY FEE tahun ke 10 bulan ke 8</t>
  </si>
  <si>
    <t>MONTHLY FEE tahun ke 10 bulan ke 9</t>
  </si>
  <si>
    <t>MONTHLY FEE tahun ke 10 bulan ke 10</t>
  </si>
  <si>
    <t>TABARRU tahun ke 10 bulan ke 10</t>
  </si>
  <si>
    <t>TABARRU tahun ke 10 bulan ke 11</t>
  </si>
  <si>
    <t>MONTHLY FEE tahun ke 10 bulan ke 11</t>
  </si>
  <si>
    <t>MONTHLY FEE tahun ke 10 bulan ke 12</t>
  </si>
  <si>
    <t>TABARRU tahun ke 10 bulan ke 12</t>
  </si>
  <si>
    <t>TABARRU tahun ke 11 bulan ke 1</t>
  </si>
  <si>
    <t>MONTHLY FEE tahun ke 11 bulan ke 1</t>
  </si>
  <si>
    <r>
      <rPr>
        <sz val="7"/>
        <color rgb="FF000000"/>
        <rFont val="Arial"/>
      </rPr>
      <t xml:space="preserve">: </t>
    </r>
    <r>
      <rPr>
        <b/>
        <sz val="7"/>
        <color rgb="FF000000"/>
        <rFont val="Arial"/>
      </rPr>
      <t xml:space="preserve">07201401292098
</t>
    </r>
    <r>
      <rPr>
        <sz val="7"/>
        <color rgb="FF000000"/>
        <rFont val="Arial"/>
      </rPr>
      <t xml:space="preserve">: </t>
    </r>
    <r>
      <rPr>
        <b/>
        <sz val="7"/>
        <color rgb="FF000000"/>
        <rFont val="Arial"/>
      </rPr>
      <t xml:space="preserve">MUHAMMAD TAUFIQ NASUTION
</t>
    </r>
    <r>
      <rPr>
        <sz val="7"/>
        <color rgb="FF000000"/>
        <rFont val="Arial"/>
      </rPr>
      <t xml:space="preserve">: </t>
    </r>
    <r>
      <rPr>
        <b/>
        <sz val="7"/>
        <color rgb="FF000000"/>
        <rFont val="Arial"/>
      </rPr>
      <t>25 Sep 2014</t>
    </r>
    <r>
      <rPr>
        <b/>
        <sz val="7"/>
        <color rgb="FF000000"/>
        <rFont val="Arial"/>
      </rPr>
      <t xml:space="preserve"> - </t>
    </r>
    <r>
      <rPr>
        <b/>
        <sz val="7"/>
        <color rgb="FF000000"/>
        <rFont val="Arial"/>
      </rPr>
      <t xml:space="preserve">24 Sep 2044
</t>
    </r>
    <r>
      <rPr>
        <sz val="7"/>
        <color rgb="FF000000"/>
        <rFont val="Arial"/>
      </rPr>
      <t xml:space="preserve">: </t>
    </r>
    <r>
      <rPr>
        <b/>
        <sz val="7"/>
        <color rgb="FF000000"/>
        <rFont val="Arial"/>
      </rPr>
      <t xml:space="preserve">TAKAFUL EKUITA
</t>
    </r>
    <r>
      <rPr>
        <sz val="7"/>
        <color rgb="FF000000"/>
        <rFont val="Arial"/>
      </rPr>
      <t xml:space="preserve">: </t>
    </r>
    <r>
      <rPr>
        <b/>
        <sz val="7"/>
        <color rgb="FF0000FF"/>
        <rFont val="Arial"/>
      </rPr>
      <t xml:space="preserve">5,079.9448
</t>
    </r>
    <r>
      <rPr>
        <sz val="7"/>
        <color rgb="FF000000"/>
        <rFont val="Arial"/>
      </rPr>
      <t xml:space="preserve">: </t>
    </r>
    <r>
      <rPr>
        <b/>
        <sz val="7"/>
        <color rgb="FF006400"/>
        <rFont val="Arial"/>
      </rPr>
      <t xml:space="preserve">5,449,823.69
</t>
    </r>
    <r>
      <rPr>
        <sz val="7"/>
        <color rgb="FF000000"/>
        <rFont val="Arial"/>
      </rPr>
      <t xml:space="preserve">: </t>
    </r>
    <r>
      <rPr>
        <b/>
        <sz val="7"/>
        <color rgb="FFFF0000"/>
        <rFont val="Arial"/>
      </rPr>
      <t xml:space="preserve">1,072.8116
</t>
    </r>
    <r>
      <rPr>
        <sz val="7"/>
        <color rgb="FF000000"/>
        <rFont val="Arial"/>
      </rPr>
      <t xml:space="preserve">: </t>
    </r>
    <r>
      <rPr>
        <b/>
        <sz val="7"/>
        <color rgb="FFFF0000"/>
        <rFont val="Arial"/>
      </rPr>
      <t>21 Oct 2024</t>
    </r>
  </si>
  <si>
    <t>tbr amana</t>
  </si>
  <si>
    <t>total tbr</t>
  </si>
  <si>
    <t>adj tbr</t>
  </si>
  <si>
    <t>total kurang potong tbr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</si>
</sst>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d\ mmm\ yyyy"/>
    <numFmt numFmtId="165" formatCode="[$-10409]#,##0.00;\-\ #,##0.00"/>
    <numFmt numFmtId="166" formatCode="[$-10409]0.0000"/>
    <numFmt numFmtId="167" formatCode="[$-10409]#,##0.0000"/>
  </numFmts>
  <fonts count="1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sz val="16"/>
      <color rgb="FF000000"/>
      <name val="Arial Black"/>
    </font>
    <font>
      <sz val="10"/>
      <color rgb="FF000000"/>
      <name val="Arial"/>
    </font>
    <font>
      <sz val="7"/>
      <color rgb="FF000000"/>
      <name val="Arial"/>
    </font>
    <font>
      <sz val="7"/>
      <color rgb="FFFFFFFF"/>
      <name val="Arial"/>
    </font>
    <font>
      <sz val="7"/>
      <color rgb="FF008000"/>
      <name val="Arial"/>
    </font>
    <font>
      <sz val="7"/>
      <color rgb="FF0000FF"/>
      <name val="Arial"/>
    </font>
    <font>
      <sz val="7"/>
      <color rgb="FFFF0000"/>
      <name val="Arial"/>
    </font>
    <font>
      <b/>
      <sz val="7"/>
      <color rgb="FF000000"/>
      <name val="Arial"/>
    </font>
    <font>
      <b/>
      <sz val="7"/>
      <color rgb="FF0000FF"/>
      <name val="Arial"/>
    </font>
    <font>
      <b/>
      <sz val="7"/>
      <color rgb="FF006400"/>
      <name val="Arial"/>
    </font>
    <font>
      <b/>
      <sz val="7"/>
      <color rgb="FFFF0000"/>
      <name val="Arial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7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6" fillId="0" borderId="0" xfId="0" applyFont="1" applyAlignment="1">
      <alignment horizontal="right" vertical="top" wrapText="1" readingOrder="1"/>
    </xf>
    <xf numFmtId="0" fontId="7" fillId="2" borderId="1" xfId="0" applyFont="1" applyFill="1" applyBorder="1" applyAlignment="1">
      <alignment horizontal="right" vertical="top" wrapText="1" readingOrder="1"/>
    </xf>
    <xf numFmtId="0" fontId="7" fillId="2" borderId="1" xfId="0" applyFont="1" applyFill="1" applyBorder="1" applyAlignment="1">
      <alignment horizontal="center" vertical="top" wrapText="1" readingOrder="1"/>
    </xf>
    <xf numFmtId="0" fontId="7" fillId="2" borderId="1" xfId="0" applyFont="1" applyFill="1" applyBorder="1" applyAlignment="1">
      <alignment vertical="top" wrapText="1" readingOrder="1"/>
    </xf>
    <xf numFmtId="0" fontId="6" fillId="0" borderId="1" xfId="0" applyFont="1" applyBorder="1" applyAlignment="1">
      <alignment horizontal="right" vertical="top" wrapText="1" readingOrder="1"/>
    </xf>
    <xf numFmtId="164" fontId="6" fillId="0" borderId="1" xfId="0" applyNumberFormat="1" applyFont="1" applyBorder="1" applyAlignment="1">
      <alignment horizontal="center" vertical="top" wrapText="1" readingOrder="1"/>
    </xf>
    <xf numFmtId="0" fontId="6" fillId="0" borderId="1" xfId="0" applyFont="1" applyBorder="1" applyAlignment="1">
      <alignment vertical="top" wrapText="1" readingOrder="1"/>
    </xf>
    <xf numFmtId="0" fontId="6" fillId="0" borderId="1" xfId="0" applyFont="1" applyBorder="1" applyAlignment="1">
      <alignment horizontal="center" vertical="top" wrapText="1" readingOrder="1"/>
    </xf>
    <xf numFmtId="165" fontId="8" fillId="0" borderId="1" xfId="0" applyNumberFormat="1" applyFont="1" applyBorder="1" applyAlignment="1">
      <alignment horizontal="right" vertical="top" wrapText="1" readingOrder="1"/>
    </xf>
    <xf numFmtId="166" fontId="8" fillId="0" borderId="1" xfId="0" applyNumberFormat="1" applyFont="1" applyBorder="1" applyAlignment="1">
      <alignment horizontal="right" vertical="top" wrapText="1" readingOrder="1"/>
    </xf>
    <xf numFmtId="167" fontId="9" fillId="0" borderId="1" xfId="0" applyNumberFormat="1" applyFont="1" applyBorder="1" applyAlignment="1">
      <alignment horizontal="right" vertical="top" wrapText="1" readingOrder="1"/>
    </xf>
    <xf numFmtId="167" fontId="10" fillId="0" borderId="1" xfId="0" applyNumberFormat="1" applyFont="1" applyBorder="1" applyAlignment="1">
      <alignment horizontal="right" vertical="top" wrapText="1" readingOrder="1"/>
    </xf>
    <xf numFmtId="165" fontId="10" fillId="0" borderId="1" xfId="0" applyNumberFormat="1" applyFont="1" applyBorder="1" applyAlignment="1">
      <alignment horizontal="right" vertical="top" wrapText="1" readingOrder="1"/>
    </xf>
    <xf numFmtId="166" fontId="10" fillId="0" borderId="1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 readingOrder="1"/>
    </xf>
    <xf numFmtId="0" fontId="6" fillId="0" borderId="0" xfId="0" applyFont="1" applyAlignment="1">
      <alignment horizontal="left" vertical="top" wrapText="1" readingOrder="1"/>
    </xf>
    <xf numFmtId="0" fontId="6" fillId="0" borderId="0" xfId="0" applyFont="1" applyAlignment="1">
      <alignment vertical="top" wrapText="1" readingOrder="1"/>
    </xf>
    <xf numFmtId="4" fontId="1" fillId="0" borderId="0" xfId="0" applyNumberFormat="1" applyFont="1"/>
    <xf numFmtId="4" fontId="15" fillId="0" borderId="0" xfId="0" applyNumberFormat="1" applyFont="1"/>
    <xf numFmtId="4" fontId="1" fillId="3" borderId="0" xfId="0" applyNumberFormat="1" applyFont="1" applyFill="1"/>
    <xf numFmtId="4" fontId="15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FF0000"/>
      <rgbColor rgb="004682B4"/>
      <rgbColor rgb="00FFFFFF"/>
      <rgbColor rgb="00008000"/>
      <rgbColor rgb="00800000"/>
      <rgbColor rgb="0000FF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9</xdr:col>
      <xdr:colOff>395274</xdr:colOff>
      <xdr:row>0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9</xdr:col>
      <xdr:colOff>395274</xdr:colOff>
      <xdr:row>0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9</xdr:col>
      <xdr:colOff>395274</xdr:colOff>
      <xdr:row>0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9</xdr:col>
      <xdr:colOff>395274</xdr:colOff>
      <xdr:row>0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9</xdr:col>
      <xdr:colOff>395274</xdr:colOff>
      <xdr:row>0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spans="1:33" ht="12" customHeight="1" outlineLevel="1" x14ac:dyDescent="0.25">
      <c r="B2" s="19" t="s">
        <v>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spans="1:33" ht="12" customHeight="1" outlineLevel="1" x14ac:dyDescent="0.25">
      <c r="B3" s="19" t="s">
        <v>2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</row>
    <row r="4" spans="1:33" ht="12" customHeight="1" outlineLevel="1" x14ac:dyDescent="0.25">
      <c r="B4" s="19" t="s">
        <v>3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spans="1:33" ht="12" customHeight="1" outlineLevel="1" x14ac:dyDescent="0.25">
      <c r="B5" s="19" t="s">
        <v>4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spans="1:33" ht="12" customHeight="1" outlineLevel="1" x14ac:dyDescent="0.25">
      <c r="B6" s="19" t="s">
        <v>5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6">
    <mergeCell ref="B6:AG6"/>
    <mergeCell ref="A1:AG1"/>
    <mergeCell ref="B2:AG2"/>
    <mergeCell ref="B3:AG3"/>
    <mergeCell ref="B4:AG4"/>
    <mergeCell ref="B5:AG5"/>
  </mergeCells>
  <hyperlinks>
    <hyperlink ref="B2" location="'INVESTASI DANA ALIA'!A1" display="INVESTASI DANA ALIA" xr:uid="{00000000-0004-0000-0000-000000000000}"/>
    <hyperlink ref="B3" location="'INVESTASI DANA ISTIQOMAH'!A1" display="INVESTASI DANA ISTIQOMAH" xr:uid="{00000000-0004-0000-0000-000001000000}"/>
    <hyperlink ref="B4" location="'INVESTASI DANA MIZAN'!A1" display="INVESTASI DANA MIZAN" xr:uid="{00000000-0004-0000-0000-000002000000}"/>
    <hyperlink ref="B5" location="'TAKAFUL AMANA PENDAPATAN TETAP'!A1" display="TAKAFUL AMANA PENDAPATAN TETAP" xr:uid="{00000000-0004-0000-0000-000003000000}"/>
    <hyperlink ref="B6" location="'TAKAFUL EKUITA'!A1" display="TAKAFUL EKUITA" xr:uid="{00000000-0004-0000-0000-000004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0"/>
  <sheetViews>
    <sheetView showGridLines="0" workbookViewId="0"/>
  </sheetViews>
  <sheetFormatPr defaultRowHeight="15" x14ac:dyDescent="0.25"/>
  <cols>
    <col min="1" max="1" width="5.42578125" customWidth="1"/>
    <col min="2" max="2" width="10.28515625" customWidth="1"/>
    <col min="3" max="3" width="31" customWidth="1"/>
    <col min="4" max="4" width="5" customWidth="1"/>
    <col min="5" max="5" width="14" customWidth="1"/>
    <col min="6" max="6" width="7.85546875" customWidth="1"/>
    <col min="7" max="7" width="10.28515625" customWidth="1"/>
    <col min="8" max="8" width="12.140625" customWidth="1"/>
    <col min="9" max="9" width="10.140625" customWidth="1"/>
    <col min="10" max="10" width="12" customWidth="1"/>
    <col min="11" max="11" width="0" hidden="1" customWidth="1"/>
  </cols>
  <sheetData>
    <row r="1" spans="1:11" ht="30.95" customHeight="1" x14ac:dyDescent="0.25">
      <c r="A1" s="20" t="s">
        <v>6</v>
      </c>
      <c r="B1" s="18"/>
      <c r="C1" s="18"/>
      <c r="D1" s="18"/>
      <c r="E1" s="18"/>
      <c r="F1" s="18"/>
      <c r="G1" s="18"/>
      <c r="H1" s="1" t="s">
        <v>7</v>
      </c>
      <c r="I1" s="18"/>
      <c r="J1" s="18"/>
      <c r="K1" s="18"/>
    </row>
    <row r="2" spans="1:11" x14ac:dyDescent="0.25">
      <c r="A2" s="21" t="s">
        <v>8</v>
      </c>
      <c r="B2" s="18"/>
      <c r="C2" s="22" t="s">
        <v>9</v>
      </c>
      <c r="D2" s="18"/>
      <c r="E2" s="18"/>
      <c r="F2" s="18"/>
      <c r="G2" s="18"/>
      <c r="H2" s="18"/>
      <c r="I2" s="3" t="s">
        <v>7</v>
      </c>
      <c r="J2" s="2" t="s">
        <v>7</v>
      </c>
    </row>
    <row r="3" spans="1:11" ht="19.5" x14ac:dyDescent="0.25">
      <c r="A3" s="4" t="s">
        <v>10</v>
      </c>
      <c r="B3" s="5" t="s">
        <v>11</v>
      </c>
      <c r="C3" s="6" t="s">
        <v>12</v>
      </c>
      <c r="D3" s="5" t="s">
        <v>13</v>
      </c>
      <c r="E3" s="4" t="s">
        <v>14</v>
      </c>
      <c r="F3" s="4" t="s">
        <v>15</v>
      </c>
      <c r="G3" s="4" t="s">
        <v>16</v>
      </c>
      <c r="H3" s="5" t="s">
        <v>17</v>
      </c>
      <c r="I3" s="4" t="s">
        <v>18</v>
      </c>
      <c r="J3" s="5" t="s">
        <v>19</v>
      </c>
    </row>
    <row r="4" spans="1:11" x14ac:dyDescent="0.25">
      <c r="A4" s="7">
        <v>1</v>
      </c>
      <c r="B4" s="8">
        <v>41907</v>
      </c>
      <c r="C4" s="9" t="s">
        <v>20</v>
      </c>
      <c r="D4" s="10" t="s">
        <v>21</v>
      </c>
      <c r="E4" s="11">
        <v>20000</v>
      </c>
      <c r="F4" s="12">
        <v>9.6055753833308994</v>
      </c>
      <c r="G4" s="13">
        <v>9.6055753833308994</v>
      </c>
      <c r="H4" s="8">
        <v>41908</v>
      </c>
      <c r="I4" s="14">
        <v>2082.1241</v>
      </c>
      <c r="J4" s="8">
        <v>41907</v>
      </c>
    </row>
    <row r="5" spans="1:11" x14ac:dyDescent="0.25">
      <c r="A5" s="7">
        <v>2</v>
      </c>
      <c r="B5" s="8">
        <v>41907</v>
      </c>
      <c r="C5" s="9" t="s">
        <v>22</v>
      </c>
      <c r="D5" s="10" t="s">
        <v>21</v>
      </c>
      <c r="E5" s="11">
        <v>47500</v>
      </c>
      <c r="F5" s="12">
        <v>22.813241535410899</v>
      </c>
      <c r="G5" s="13">
        <v>32.418816918741797</v>
      </c>
      <c r="H5" s="8">
        <v>41908</v>
      </c>
      <c r="I5" s="14">
        <v>2082.1241</v>
      </c>
      <c r="J5" s="8">
        <v>41907</v>
      </c>
    </row>
    <row r="6" spans="1:11" x14ac:dyDescent="0.25">
      <c r="A6" s="7">
        <v>3</v>
      </c>
      <c r="B6" s="8">
        <v>41907</v>
      </c>
      <c r="C6" s="9" t="s">
        <v>23</v>
      </c>
      <c r="D6" s="10" t="s">
        <v>24</v>
      </c>
      <c r="E6" s="15">
        <v>-16047.5</v>
      </c>
      <c r="F6" s="16">
        <v>-7.7072735482001304</v>
      </c>
      <c r="G6" s="13">
        <v>24.711543370541701</v>
      </c>
      <c r="H6" s="8">
        <v>41908</v>
      </c>
      <c r="I6" s="14">
        <v>2082.1241</v>
      </c>
      <c r="J6" s="8">
        <v>41907</v>
      </c>
    </row>
    <row r="7" spans="1:11" x14ac:dyDescent="0.25">
      <c r="A7" s="7">
        <v>4</v>
      </c>
      <c r="B7" s="8">
        <v>41937</v>
      </c>
      <c r="C7" s="9" t="s">
        <v>25</v>
      </c>
      <c r="D7" s="10" t="s">
        <v>21</v>
      </c>
      <c r="E7" s="11">
        <v>20000</v>
      </c>
      <c r="F7" s="12">
        <v>9.8530438220035794</v>
      </c>
      <c r="G7" s="13">
        <v>34.564587192545197</v>
      </c>
      <c r="H7" s="8">
        <v>41932</v>
      </c>
      <c r="I7" s="14">
        <v>2029.8296</v>
      </c>
      <c r="J7" s="8">
        <v>41937</v>
      </c>
    </row>
    <row r="8" spans="1:11" x14ac:dyDescent="0.25">
      <c r="A8" s="7">
        <v>5</v>
      </c>
      <c r="B8" s="8">
        <v>41937</v>
      </c>
      <c r="C8" s="9" t="s">
        <v>22</v>
      </c>
      <c r="D8" s="10" t="s">
        <v>21</v>
      </c>
      <c r="E8" s="11">
        <v>47500</v>
      </c>
      <c r="F8" s="12">
        <v>23.400979077258501</v>
      </c>
      <c r="G8" s="13">
        <v>57.965566269803702</v>
      </c>
      <c r="H8" s="8">
        <v>41932</v>
      </c>
      <c r="I8" s="14">
        <v>2029.8296</v>
      </c>
      <c r="J8" s="8">
        <v>41937</v>
      </c>
    </row>
    <row r="9" spans="1:11" x14ac:dyDescent="0.25">
      <c r="A9" s="7">
        <v>6</v>
      </c>
      <c r="B9" s="8">
        <v>41937</v>
      </c>
      <c r="C9" s="9" t="s">
        <v>26</v>
      </c>
      <c r="D9" s="10" t="s">
        <v>24</v>
      </c>
      <c r="E9" s="15">
        <v>-14443.97</v>
      </c>
      <c r="F9" s="16">
        <v>-7.1636538737846296</v>
      </c>
      <c r="G9" s="13">
        <v>50.801912396019098</v>
      </c>
      <c r="H9" s="8">
        <v>41939</v>
      </c>
      <c r="I9" s="14">
        <v>2016.2853</v>
      </c>
      <c r="J9" s="8">
        <v>41937</v>
      </c>
    </row>
    <row r="10" spans="1:11" x14ac:dyDescent="0.25">
      <c r="A10" s="7">
        <v>7</v>
      </c>
      <c r="B10" s="8">
        <v>41968</v>
      </c>
      <c r="C10" s="9" t="s">
        <v>25</v>
      </c>
      <c r="D10" s="10" t="s">
        <v>21</v>
      </c>
      <c r="E10" s="11">
        <v>19600</v>
      </c>
      <c r="F10" s="12">
        <v>9.59259842935883</v>
      </c>
      <c r="G10" s="13">
        <v>60.3945108253779</v>
      </c>
      <c r="H10" s="8">
        <v>41941</v>
      </c>
      <c r="I10" s="14">
        <v>2043.242</v>
      </c>
      <c r="J10" s="8">
        <v>41968</v>
      </c>
    </row>
    <row r="11" spans="1:11" x14ac:dyDescent="0.25">
      <c r="A11" s="7">
        <v>8</v>
      </c>
      <c r="B11" s="8">
        <v>41968</v>
      </c>
      <c r="C11" s="9" t="s">
        <v>22</v>
      </c>
      <c r="D11" s="10" t="s">
        <v>21</v>
      </c>
      <c r="E11" s="11">
        <v>46550</v>
      </c>
      <c r="F11" s="12">
        <v>22.782421269727202</v>
      </c>
      <c r="G11" s="13">
        <v>83.176932095105201</v>
      </c>
      <c r="H11" s="8">
        <v>41941</v>
      </c>
      <c r="I11" s="14">
        <v>2043.242</v>
      </c>
      <c r="J11" s="8">
        <v>41968</v>
      </c>
    </row>
    <row r="12" spans="1:11" x14ac:dyDescent="0.25">
      <c r="A12" s="7">
        <v>9</v>
      </c>
      <c r="B12" s="8">
        <v>41968</v>
      </c>
      <c r="C12" s="9" t="s">
        <v>27</v>
      </c>
      <c r="D12" s="10" t="s">
        <v>24</v>
      </c>
      <c r="E12" s="15">
        <v>-14523.22</v>
      </c>
      <c r="F12" s="16">
        <v>-6.8792541737678103</v>
      </c>
      <c r="G12" s="13">
        <v>76.297677921337396</v>
      </c>
      <c r="H12" s="8">
        <v>41969</v>
      </c>
      <c r="I12" s="14">
        <v>2111.1619999999998</v>
      </c>
      <c r="J12" s="8">
        <v>41968</v>
      </c>
    </row>
    <row r="13" spans="1:11" x14ac:dyDescent="0.25">
      <c r="A13" s="7">
        <v>10</v>
      </c>
      <c r="B13" s="8">
        <v>41998</v>
      </c>
      <c r="C13" s="9" t="s">
        <v>25</v>
      </c>
      <c r="D13" s="10" t="s">
        <v>21</v>
      </c>
      <c r="E13" s="11">
        <v>20399.89581962</v>
      </c>
      <c r="F13" s="12">
        <v>9.3094000000000001</v>
      </c>
      <c r="G13" s="13">
        <v>85.607077921337407</v>
      </c>
      <c r="H13" s="8">
        <v>42012</v>
      </c>
      <c r="I13" s="14">
        <v>2191.3222999999998</v>
      </c>
      <c r="J13" s="8">
        <v>41998</v>
      </c>
    </row>
    <row r="14" spans="1:11" x14ac:dyDescent="0.25">
      <c r="A14" s="7">
        <v>11</v>
      </c>
      <c r="B14" s="8">
        <v>41998</v>
      </c>
      <c r="C14" s="9" t="s">
        <v>22</v>
      </c>
      <c r="D14" s="10" t="s">
        <v>21</v>
      </c>
      <c r="E14" s="11">
        <v>48449.916920770003</v>
      </c>
      <c r="F14" s="12">
        <v>22.1099</v>
      </c>
      <c r="G14" s="13">
        <v>107.716977921337</v>
      </c>
      <c r="H14" s="8">
        <v>42012</v>
      </c>
      <c r="I14" s="14">
        <v>2191.3222999999998</v>
      </c>
      <c r="J14" s="8">
        <v>41998</v>
      </c>
    </row>
    <row r="15" spans="1:11" x14ac:dyDescent="0.25">
      <c r="A15" s="7">
        <v>12</v>
      </c>
      <c r="B15" s="8">
        <v>41998</v>
      </c>
      <c r="C15" s="9" t="s">
        <v>28</v>
      </c>
      <c r="D15" s="10" t="s">
        <v>24</v>
      </c>
      <c r="E15" s="15">
        <v>-14623.46</v>
      </c>
      <c r="F15" s="16">
        <v>-6.7283618516322097</v>
      </c>
      <c r="G15" s="13">
        <v>100.988616069705</v>
      </c>
      <c r="H15" s="8">
        <v>42002</v>
      </c>
      <c r="I15" s="14">
        <v>2173.4056999999998</v>
      </c>
      <c r="J15" s="8">
        <v>41998</v>
      </c>
    </row>
    <row r="16" spans="1:11" x14ac:dyDescent="0.25">
      <c r="A16" s="7">
        <v>13</v>
      </c>
      <c r="B16" s="8">
        <v>42029</v>
      </c>
      <c r="C16" s="9" t="s">
        <v>25</v>
      </c>
      <c r="D16" s="10" t="s">
        <v>21</v>
      </c>
      <c r="E16" s="11">
        <v>20399.899713840001</v>
      </c>
      <c r="F16" s="12">
        <v>8.9928000000000008</v>
      </c>
      <c r="G16" s="13">
        <v>109.98141606970501</v>
      </c>
      <c r="H16" s="8">
        <v>42026</v>
      </c>
      <c r="I16" s="14">
        <v>2268.4703</v>
      </c>
      <c r="J16" s="8">
        <v>42029</v>
      </c>
    </row>
    <row r="17" spans="1:10" x14ac:dyDescent="0.25">
      <c r="A17" s="7">
        <v>14</v>
      </c>
      <c r="B17" s="8">
        <v>42029</v>
      </c>
      <c r="C17" s="9" t="s">
        <v>22</v>
      </c>
      <c r="D17" s="10" t="s">
        <v>21</v>
      </c>
      <c r="E17" s="11">
        <v>48449.988667400001</v>
      </c>
      <c r="F17" s="12">
        <v>21.358000000000001</v>
      </c>
      <c r="G17" s="13">
        <v>131.33941606970501</v>
      </c>
      <c r="H17" s="8">
        <v>42026</v>
      </c>
      <c r="I17" s="14">
        <v>2268.4703</v>
      </c>
      <c r="J17" s="8">
        <v>42029</v>
      </c>
    </row>
    <row r="18" spans="1:10" x14ac:dyDescent="0.25">
      <c r="A18" s="7">
        <v>15</v>
      </c>
      <c r="B18" s="8">
        <v>42029</v>
      </c>
      <c r="C18" s="9" t="s">
        <v>29</v>
      </c>
      <c r="D18" s="10" t="s">
        <v>24</v>
      </c>
      <c r="E18" s="15">
        <v>-14930.414841510001</v>
      </c>
      <c r="F18" s="16">
        <v>-6.6170999999999998</v>
      </c>
      <c r="G18" s="13">
        <v>124.722316069705</v>
      </c>
      <c r="H18" s="8">
        <v>42030</v>
      </c>
      <c r="I18" s="14">
        <v>2256.3380999999999</v>
      </c>
      <c r="J18" s="8">
        <v>42029</v>
      </c>
    </row>
    <row r="19" spans="1:10" x14ac:dyDescent="0.25">
      <c r="A19" s="7">
        <v>16</v>
      </c>
      <c r="B19" s="8">
        <v>42060</v>
      </c>
      <c r="C19" s="9" t="s">
        <v>25</v>
      </c>
      <c r="D19" s="10" t="s">
        <v>21</v>
      </c>
      <c r="E19" s="11">
        <v>20800.088427539999</v>
      </c>
      <c r="F19" s="12">
        <v>9.2372999999999994</v>
      </c>
      <c r="G19" s="13">
        <v>133.95961606970499</v>
      </c>
      <c r="H19" s="8">
        <v>42040</v>
      </c>
      <c r="I19" s="14">
        <v>2251.7498000000001</v>
      </c>
      <c r="J19" s="8">
        <v>42060</v>
      </c>
    </row>
    <row r="20" spans="1:10" x14ac:dyDescent="0.25">
      <c r="A20" s="7">
        <v>17</v>
      </c>
      <c r="B20" s="8">
        <v>42060</v>
      </c>
      <c r="C20" s="9" t="s">
        <v>22</v>
      </c>
      <c r="D20" s="10" t="s">
        <v>21</v>
      </c>
      <c r="E20" s="11">
        <v>49400.012987299997</v>
      </c>
      <c r="F20" s="12">
        <v>21.938500000000001</v>
      </c>
      <c r="G20" s="13">
        <v>155.898116069705</v>
      </c>
      <c r="H20" s="8">
        <v>42040</v>
      </c>
      <c r="I20" s="14">
        <v>2251.7498000000001</v>
      </c>
      <c r="J20" s="8">
        <v>42060</v>
      </c>
    </row>
    <row r="21" spans="1:10" x14ac:dyDescent="0.25">
      <c r="A21" s="7">
        <v>18</v>
      </c>
      <c r="B21" s="8">
        <v>42060</v>
      </c>
      <c r="C21" s="9" t="s">
        <v>30</v>
      </c>
      <c r="D21" s="10" t="s">
        <v>24</v>
      </c>
      <c r="E21" s="15">
        <v>-14993.984326620001</v>
      </c>
      <c r="F21" s="16">
        <v>-6.4298000000000002</v>
      </c>
      <c r="G21" s="13">
        <v>149.468316069705</v>
      </c>
      <c r="H21" s="8">
        <v>42060</v>
      </c>
      <c r="I21" s="14">
        <v>2331.9519</v>
      </c>
      <c r="J21" s="8">
        <v>42060</v>
      </c>
    </row>
    <row r="22" spans="1:10" x14ac:dyDescent="0.25">
      <c r="A22" s="7">
        <v>19</v>
      </c>
      <c r="B22" s="8">
        <v>42088</v>
      </c>
      <c r="C22" s="9" t="s">
        <v>25</v>
      </c>
      <c r="D22" s="10" t="s">
        <v>21</v>
      </c>
      <c r="E22" s="11">
        <v>20800.10708406</v>
      </c>
      <c r="F22" s="12">
        <v>8.9093999999999998</v>
      </c>
      <c r="G22" s="13">
        <v>158.377716069705</v>
      </c>
      <c r="H22" s="8">
        <v>42069</v>
      </c>
      <c r="I22" s="14">
        <v>2334.6248999999998</v>
      </c>
      <c r="J22" s="8">
        <v>42088</v>
      </c>
    </row>
    <row r="23" spans="1:10" x14ac:dyDescent="0.25">
      <c r="A23" s="7">
        <v>20</v>
      </c>
      <c r="B23" s="8">
        <v>42088</v>
      </c>
      <c r="C23" s="9" t="s">
        <v>22</v>
      </c>
      <c r="D23" s="10" t="s">
        <v>21</v>
      </c>
      <c r="E23" s="11">
        <v>49399.962496530003</v>
      </c>
      <c r="F23" s="12">
        <v>21.159700000000001</v>
      </c>
      <c r="G23" s="13">
        <v>179.53741606970499</v>
      </c>
      <c r="H23" s="8">
        <v>42069</v>
      </c>
      <c r="I23" s="14">
        <v>2334.6248999999998</v>
      </c>
      <c r="J23" s="8">
        <v>42088</v>
      </c>
    </row>
    <row r="24" spans="1:10" x14ac:dyDescent="0.25">
      <c r="A24" s="7">
        <v>21</v>
      </c>
      <c r="B24" s="8">
        <v>42088</v>
      </c>
      <c r="C24" s="9" t="s">
        <v>31</v>
      </c>
      <c r="D24" s="10" t="s">
        <v>24</v>
      </c>
      <c r="E24" s="15">
        <v>-15097.2531745</v>
      </c>
      <c r="F24" s="16">
        <v>-6.6174999999999997</v>
      </c>
      <c r="G24" s="13">
        <v>172.91991606970501</v>
      </c>
      <c r="H24" s="8">
        <v>42088</v>
      </c>
      <c r="I24" s="14">
        <v>2281.4133999999999</v>
      </c>
      <c r="J24" s="8">
        <v>42088</v>
      </c>
    </row>
    <row r="25" spans="1:10" x14ac:dyDescent="0.25">
      <c r="A25" s="7">
        <v>22</v>
      </c>
      <c r="B25" s="8">
        <v>42119</v>
      </c>
      <c r="C25" s="9" t="s">
        <v>25</v>
      </c>
      <c r="D25" s="10" t="s">
        <v>21</v>
      </c>
      <c r="E25" s="11">
        <v>19999.912138399999</v>
      </c>
      <c r="F25" s="12">
        <v>8.6959999999999997</v>
      </c>
      <c r="G25" s="13">
        <v>181.61591606970501</v>
      </c>
      <c r="H25" s="8">
        <v>42109</v>
      </c>
      <c r="I25" s="14">
        <v>2299.8978999999999</v>
      </c>
      <c r="J25" s="8">
        <v>42119</v>
      </c>
    </row>
    <row r="26" spans="1:10" x14ac:dyDescent="0.25">
      <c r="A26" s="7">
        <v>23</v>
      </c>
      <c r="B26" s="8">
        <v>42119</v>
      </c>
      <c r="C26" s="9" t="s">
        <v>22</v>
      </c>
      <c r="D26" s="10" t="s">
        <v>21</v>
      </c>
      <c r="E26" s="11">
        <v>47500.021318489999</v>
      </c>
      <c r="F26" s="12">
        <v>20.653099999999998</v>
      </c>
      <c r="G26" s="13">
        <v>202.269016069705</v>
      </c>
      <c r="H26" s="8">
        <v>42109</v>
      </c>
      <c r="I26" s="14">
        <v>2299.8978999999999</v>
      </c>
      <c r="J26" s="8">
        <v>42119</v>
      </c>
    </row>
    <row r="27" spans="1:10" x14ac:dyDescent="0.25">
      <c r="A27" s="7">
        <v>24</v>
      </c>
      <c r="B27" s="8">
        <v>42119</v>
      </c>
      <c r="C27" s="9" t="s">
        <v>32</v>
      </c>
      <c r="D27" s="10" t="s">
        <v>24</v>
      </c>
      <c r="E27" s="15">
        <v>-15086.5695786</v>
      </c>
      <c r="F27" s="16">
        <v>-6.7622999999999998</v>
      </c>
      <c r="G27" s="13">
        <v>195.50671606970499</v>
      </c>
      <c r="H27" s="8">
        <v>42123</v>
      </c>
      <c r="I27" s="14">
        <v>2230.982</v>
      </c>
      <c r="J27" s="8">
        <v>42119</v>
      </c>
    </row>
    <row r="28" spans="1:10" x14ac:dyDescent="0.25">
      <c r="A28" s="7">
        <v>25</v>
      </c>
      <c r="B28" s="8">
        <v>42149</v>
      </c>
      <c r="C28" s="9" t="s">
        <v>25</v>
      </c>
      <c r="D28" s="10" t="s">
        <v>21</v>
      </c>
      <c r="E28" s="11">
        <v>20000.001723519999</v>
      </c>
      <c r="F28" s="12">
        <v>8.7451000000000008</v>
      </c>
      <c r="G28" s="13">
        <v>204.251816069705</v>
      </c>
      <c r="H28" s="8">
        <v>42136</v>
      </c>
      <c r="I28" s="14">
        <v>2286.9951999999998</v>
      </c>
      <c r="J28" s="8">
        <v>42149</v>
      </c>
    </row>
    <row r="29" spans="1:10" x14ac:dyDescent="0.25">
      <c r="A29" s="7">
        <v>26</v>
      </c>
      <c r="B29" s="8">
        <v>42149</v>
      </c>
      <c r="C29" s="9" t="s">
        <v>22</v>
      </c>
      <c r="D29" s="10" t="s">
        <v>21</v>
      </c>
      <c r="E29" s="11">
        <v>47499.975505920003</v>
      </c>
      <c r="F29" s="12">
        <v>20.769600000000001</v>
      </c>
      <c r="G29" s="13">
        <v>225.021416069705</v>
      </c>
      <c r="H29" s="8">
        <v>42136</v>
      </c>
      <c r="I29" s="14">
        <v>2286.9951999999998</v>
      </c>
      <c r="J29" s="8">
        <v>42149</v>
      </c>
    </row>
    <row r="30" spans="1:10" x14ac:dyDescent="0.25">
      <c r="A30" s="7">
        <v>27</v>
      </c>
      <c r="B30" s="8">
        <v>42149</v>
      </c>
      <c r="C30" s="9" t="s">
        <v>33</v>
      </c>
      <c r="D30" s="10" t="s">
        <v>24</v>
      </c>
      <c r="E30" s="15">
        <v>-15034.30073343</v>
      </c>
      <c r="F30" s="16">
        <v>-6.4306999999999999</v>
      </c>
      <c r="G30" s="13">
        <v>218.590716069705</v>
      </c>
      <c r="H30" s="8">
        <v>42149</v>
      </c>
      <c r="I30" s="14">
        <v>2337.8948999999998</v>
      </c>
      <c r="J30" s="8">
        <v>42149</v>
      </c>
    </row>
    <row r="31" spans="1:10" x14ac:dyDescent="0.25">
      <c r="A31" s="7">
        <v>28</v>
      </c>
      <c r="B31" s="8">
        <v>42180</v>
      </c>
      <c r="C31" s="9" t="s">
        <v>25</v>
      </c>
      <c r="D31" s="10" t="s">
        <v>21</v>
      </c>
      <c r="E31" s="11">
        <v>19999.906259039999</v>
      </c>
      <c r="F31" s="12">
        <v>9.2591999999999999</v>
      </c>
      <c r="G31" s="13">
        <v>227.84991606970499</v>
      </c>
      <c r="H31" s="8">
        <v>42171</v>
      </c>
      <c r="I31" s="14">
        <v>2160.0037000000002</v>
      </c>
      <c r="J31" s="8">
        <v>42180</v>
      </c>
    </row>
    <row r="32" spans="1:10" x14ac:dyDescent="0.25">
      <c r="A32" s="7">
        <v>29</v>
      </c>
      <c r="B32" s="8">
        <v>42180</v>
      </c>
      <c r="C32" s="9" t="s">
        <v>22</v>
      </c>
      <c r="D32" s="10" t="s">
        <v>21</v>
      </c>
      <c r="E32" s="11">
        <v>47499.993365590002</v>
      </c>
      <c r="F32" s="12">
        <v>21.9907</v>
      </c>
      <c r="G32" s="13">
        <v>249.84061606970499</v>
      </c>
      <c r="H32" s="8">
        <v>42171</v>
      </c>
      <c r="I32" s="14">
        <v>2160.0037000000002</v>
      </c>
      <c r="J32" s="8">
        <v>42180</v>
      </c>
    </row>
    <row r="33" spans="1:10" x14ac:dyDescent="0.25">
      <c r="A33" s="7">
        <v>30</v>
      </c>
      <c r="B33" s="8">
        <v>42180</v>
      </c>
      <c r="C33" s="9" t="s">
        <v>34</v>
      </c>
      <c r="D33" s="10" t="s">
        <v>24</v>
      </c>
      <c r="E33" s="15">
        <v>-14767.882341549999</v>
      </c>
      <c r="F33" s="16">
        <v>-6.7344999999999997</v>
      </c>
      <c r="G33" s="13">
        <v>243.106116069705</v>
      </c>
      <c r="H33" s="8">
        <v>42180</v>
      </c>
      <c r="I33" s="14">
        <v>2192.8699000000001</v>
      </c>
      <c r="J33" s="8">
        <v>42180</v>
      </c>
    </row>
    <row r="34" spans="1:10" x14ac:dyDescent="0.25">
      <c r="A34" s="7">
        <v>31</v>
      </c>
      <c r="B34" s="8">
        <v>42210</v>
      </c>
      <c r="C34" s="9" t="s">
        <v>25</v>
      </c>
      <c r="D34" s="10" t="s">
        <v>21</v>
      </c>
      <c r="E34" s="11">
        <v>19999.9397818</v>
      </c>
      <c r="F34" s="12">
        <v>9.1705000000000005</v>
      </c>
      <c r="G34" s="13">
        <v>252.276616069705</v>
      </c>
      <c r="H34" s="8">
        <v>42195</v>
      </c>
      <c r="I34" s="14">
        <v>2180.8996000000002</v>
      </c>
      <c r="J34" s="8">
        <v>42210</v>
      </c>
    </row>
    <row r="35" spans="1:10" x14ac:dyDescent="0.25">
      <c r="A35" s="7">
        <v>32</v>
      </c>
      <c r="B35" s="8">
        <v>42210</v>
      </c>
      <c r="C35" s="9" t="s">
        <v>22</v>
      </c>
      <c r="D35" s="10" t="s">
        <v>21</v>
      </c>
      <c r="E35" s="11">
        <v>47499.993287999998</v>
      </c>
      <c r="F35" s="12">
        <v>21.78</v>
      </c>
      <c r="G35" s="13">
        <v>274.056616069705</v>
      </c>
      <c r="H35" s="8">
        <v>42195</v>
      </c>
      <c r="I35" s="14">
        <v>2180.8996000000002</v>
      </c>
      <c r="J35" s="8">
        <v>42210</v>
      </c>
    </row>
    <row r="36" spans="1:10" x14ac:dyDescent="0.25">
      <c r="A36" s="7">
        <v>33</v>
      </c>
      <c r="B36" s="8">
        <v>42210</v>
      </c>
      <c r="C36" s="9" t="s">
        <v>35</v>
      </c>
      <c r="D36" s="10" t="s">
        <v>24</v>
      </c>
      <c r="E36" s="15">
        <v>-14725.35654345</v>
      </c>
      <c r="F36" s="16">
        <v>-6.8830999999999998</v>
      </c>
      <c r="G36" s="13">
        <v>267.17351606970499</v>
      </c>
      <c r="H36" s="8">
        <v>42212</v>
      </c>
      <c r="I36" s="14">
        <v>2139.3494999999998</v>
      </c>
      <c r="J36" s="8">
        <v>42210</v>
      </c>
    </row>
    <row r="37" spans="1:10" x14ac:dyDescent="0.25">
      <c r="A37" s="7">
        <v>34</v>
      </c>
      <c r="B37" s="8">
        <v>42241</v>
      </c>
      <c r="C37" s="9" t="s">
        <v>25</v>
      </c>
      <c r="D37" s="10" t="s">
        <v>21</v>
      </c>
      <c r="E37" s="11">
        <v>19999.951676799999</v>
      </c>
      <c r="F37" s="12">
        <v>9.8239999999999998</v>
      </c>
      <c r="G37" s="13">
        <v>276.997516069705</v>
      </c>
      <c r="H37" s="8">
        <v>42236</v>
      </c>
      <c r="I37" s="14">
        <v>2035.8257000000001</v>
      </c>
      <c r="J37" s="8">
        <v>42241</v>
      </c>
    </row>
    <row r="38" spans="1:10" x14ac:dyDescent="0.25">
      <c r="A38" s="7">
        <v>35</v>
      </c>
      <c r="B38" s="8">
        <v>42241</v>
      </c>
      <c r="C38" s="9" t="s">
        <v>22</v>
      </c>
      <c r="D38" s="10" t="s">
        <v>21</v>
      </c>
      <c r="E38" s="11">
        <v>47500.088814969997</v>
      </c>
      <c r="F38" s="12">
        <v>23.332100000000001</v>
      </c>
      <c r="G38" s="13">
        <v>300.32961606970503</v>
      </c>
      <c r="H38" s="8">
        <v>42236</v>
      </c>
      <c r="I38" s="14">
        <v>2035.8257000000001</v>
      </c>
      <c r="J38" s="8">
        <v>42241</v>
      </c>
    </row>
    <row r="39" spans="1:10" x14ac:dyDescent="0.25">
      <c r="A39" s="7">
        <v>36</v>
      </c>
      <c r="B39" s="8">
        <v>42241</v>
      </c>
      <c r="C39" s="9" t="s">
        <v>36</v>
      </c>
      <c r="D39" s="10" t="s">
        <v>24</v>
      </c>
      <c r="E39" s="15">
        <v>-14375.91362304</v>
      </c>
      <c r="F39" s="16">
        <v>-7.1456999999999997</v>
      </c>
      <c r="G39" s="13">
        <v>293.18391606970499</v>
      </c>
      <c r="H39" s="8">
        <v>42243</v>
      </c>
      <c r="I39" s="14">
        <v>2011.8271999999999</v>
      </c>
      <c r="J39" s="8">
        <v>42241</v>
      </c>
    </row>
    <row r="40" spans="1:10" x14ac:dyDescent="0.25">
      <c r="A40" s="7">
        <v>37</v>
      </c>
      <c r="B40" s="8">
        <v>42272</v>
      </c>
      <c r="C40" s="9" t="s">
        <v>37</v>
      </c>
      <c r="D40" s="10" t="s">
        <v>21</v>
      </c>
      <c r="E40" s="11">
        <v>49999.913364979999</v>
      </c>
      <c r="F40" s="12">
        <v>25.136900000000001</v>
      </c>
      <c r="G40" s="13">
        <v>318.32081606970502</v>
      </c>
      <c r="H40" s="8">
        <v>42263</v>
      </c>
      <c r="I40" s="14">
        <v>1989.1042</v>
      </c>
      <c r="J40" s="8">
        <v>42272</v>
      </c>
    </row>
    <row r="41" spans="1:10" x14ac:dyDescent="0.25">
      <c r="A41" s="7">
        <v>38</v>
      </c>
      <c r="B41" s="8">
        <v>42272</v>
      </c>
      <c r="C41" s="9" t="s">
        <v>38</v>
      </c>
      <c r="D41" s="10" t="s">
        <v>21</v>
      </c>
      <c r="E41" s="11">
        <v>47499.957420120001</v>
      </c>
      <c r="F41" s="12">
        <v>23.0078</v>
      </c>
      <c r="G41" s="13">
        <v>341.32861606970499</v>
      </c>
      <c r="H41" s="8">
        <v>42333</v>
      </c>
      <c r="I41" s="14">
        <v>2064.5154000000002</v>
      </c>
      <c r="J41" s="8">
        <v>42272</v>
      </c>
    </row>
    <row r="42" spans="1:10" x14ac:dyDescent="0.25">
      <c r="A42" s="7">
        <v>39</v>
      </c>
      <c r="B42" s="8">
        <v>42272</v>
      </c>
      <c r="C42" s="9" t="s">
        <v>39</v>
      </c>
      <c r="D42" s="10" t="s">
        <v>24</v>
      </c>
      <c r="E42" s="15">
        <v>-14877.54641184</v>
      </c>
      <c r="F42" s="16">
        <v>-7.6832000000000003</v>
      </c>
      <c r="G42" s="13">
        <v>333.64541606970499</v>
      </c>
      <c r="H42" s="8">
        <v>42272</v>
      </c>
      <c r="I42" s="14">
        <v>1936.3737000000001</v>
      </c>
      <c r="J42" s="8">
        <v>42272</v>
      </c>
    </row>
    <row r="43" spans="1:10" x14ac:dyDescent="0.25">
      <c r="A43" s="7">
        <v>40</v>
      </c>
      <c r="B43" s="8">
        <v>42272</v>
      </c>
      <c r="C43" s="9" t="s">
        <v>40</v>
      </c>
      <c r="D43" s="10" t="s">
        <v>24</v>
      </c>
      <c r="E43" s="15">
        <v>-12255.50278467</v>
      </c>
      <c r="F43" s="16">
        <v>-6.3291000000000004</v>
      </c>
      <c r="G43" s="13">
        <v>327.31631606970501</v>
      </c>
      <c r="H43" s="8">
        <v>42272</v>
      </c>
      <c r="I43" s="14">
        <v>1936.3737000000001</v>
      </c>
      <c r="J43" s="8">
        <v>42272</v>
      </c>
    </row>
    <row r="44" spans="1:10" x14ac:dyDescent="0.25">
      <c r="A44" s="7">
        <v>41</v>
      </c>
      <c r="B44" s="8">
        <v>42302</v>
      </c>
      <c r="C44" s="9" t="s">
        <v>37</v>
      </c>
      <c r="D44" s="10" t="s">
        <v>21</v>
      </c>
      <c r="E44" s="11">
        <v>50000.043690660001</v>
      </c>
      <c r="F44" s="12">
        <v>24.6858</v>
      </c>
      <c r="G44" s="13">
        <v>352.00211606970498</v>
      </c>
      <c r="H44" s="8">
        <v>42290</v>
      </c>
      <c r="I44" s="14">
        <v>2025.4576999999999</v>
      </c>
      <c r="J44" s="8">
        <v>42302</v>
      </c>
    </row>
    <row r="45" spans="1:10" x14ac:dyDescent="0.25">
      <c r="A45" s="7">
        <v>42</v>
      </c>
      <c r="B45" s="8">
        <v>42302</v>
      </c>
      <c r="C45" s="9" t="s">
        <v>38</v>
      </c>
      <c r="D45" s="10" t="s">
        <v>21</v>
      </c>
      <c r="E45" s="11">
        <v>47500.021251550002</v>
      </c>
      <c r="F45" s="12">
        <v>23.451499999999999</v>
      </c>
      <c r="G45" s="13">
        <v>375.45361606970499</v>
      </c>
      <c r="H45" s="8">
        <v>42290</v>
      </c>
      <c r="I45" s="14">
        <v>2025.4576999999999</v>
      </c>
      <c r="J45" s="8">
        <v>42302</v>
      </c>
    </row>
    <row r="46" spans="1:10" x14ac:dyDescent="0.25">
      <c r="A46" s="7">
        <v>43</v>
      </c>
      <c r="B46" s="8">
        <v>42302</v>
      </c>
      <c r="C46" s="9" t="s">
        <v>41</v>
      </c>
      <c r="D46" s="10" t="s">
        <v>24</v>
      </c>
      <c r="E46" s="15">
        <v>-15107.4926461</v>
      </c>
      <c r="F46" s="16">
        <v>-7.1548999999999996</v>
      </c>
      <c r="G46" s="13">
        <v>368.29871606970499</v>
      </c>
      <c r="H46" s="8">
        <v>42303</v>
      </c>
      <c r="I46" s="14">
        <v>2111.489</v>
      </c>
      <c r="J46" s="8">
        <v>42302</v>
      </c>
    </row>
    <row r="47" spans="1:10" x14ac:dyDescent="0.25">
      <c r="A47" s="7">
        <v>44</v>
      </c>
      <c r="B47" s="8">
        <v>42302</v>
      </c>
      <c r="C47" s="9" t="s">
        <v>42</v>
      </c>
      <c r="D47" s="10" t="s">
        <v>24</v>
      </c>
      <c r="E47" s="15">
        <v>-12444.9050171</v>
      </c>
      <c r="F47" s="16">
        <v>-5.8939000000000004</v>
      </c>
      <c r="G47" s="13">
        <v>362.40481606970502</v>
      </c>
      <c r="H47" s="8">
        <v>42303</v>
      </c>
      <c r="I47" s="14">
        <v>2111.489</v>
      </c>
      <c r="J47" s="8">
        <v>42302</v>
      </c>
    </row>
    <row r="48" spans="1:10" x14ac:dyDescent="0.25">
      <c r="A48" s="7">
        <v>45</v>
      </c>
      <c r="B48" s="8">
        <v>42333</v>
      </c>
      <c r="C48" s="9" t="s">
        <v>37</v>
      </c>
      <c r="D48" s="10" t="s">
        <v>21</v>
      </c>
      <c r="E48" s="11">
        <v>49999.946362039998</v>
      </c>
      <c r="F48" s="12">
        <v>24.647600000000001</v>
      </c>
      <c r="G48" s="13">
        <v>387.05241606970498</v>
      </c>
      <c r="H48" s="8">
        <v>42318</v>
      </c>
      <c r="I48" s="14">
        <v>2028.5929000000001</v>
      </c>
      <c r="J48" s="8">
        <v>42333</v>
      </c>
    </row>
    <row r="49" spans="1:10" x14ac:dyDescent="0.25">
      <c r="A49" s="7">
        <v>46</v>
      </c>
      <c r="B49" s="8">
        <v>42333</v>
      </c>
      <c r="C49" s="9" t="s">
        <v>38</v>
      </c>
      <c r="D49" s="10" t="s">
        <v>21</v>
      </c>
      <c r="E49" s="11">
        <v>47499.908472080002</v>
      </c>
      <c r="F49" s="12">
        <v>23.415199999999999</v>
      </c>
      <c r="G49" s="13">
        <v>410.467616069705</v>
      </c>
      <c r="H49" s="8">
        <v>42318</v>
      </c>
      <c r="I49" s="14">
        <v>2028.5929000000001</v>
      </c>
      <c r="J49" s="8">
        <v>42333</v>
      </c>
    </row>
    <row r="50" spans="1:10" x14ac:dyDescent="0.25">
      <c r="A50" s="7">
        <v>47</v>
      </c>
      <c r="B50" s="8">
        <v>42333</v>
      </c>
      <c r="C50" s="9" t="s">
        <v>43</v>
      </c>
      <c r="D50" s="10" t="s">
        <v>24</v>
      </c>
      <c r="E50" s="15">
        <v>-15164.484967619999</v>
      </c>
      <c r="F50" s="16">
        <v>-7.3452999999999999</v>
      </c>
      <c r="G50" s="13">
        <v>403.12231606970499</v>
      </c>
      <c r="H50" s="8">
        <v>42333</v>
      </c>
      <c r="I50" s="14">
        <v>2064.5154000000002</v>
      </c>
      <c r="J50" s="8">
        <v>42333</v>
      </c>
    </row>
    <row r="51" spans="1:10" x14ac:dyDescent="0.25">
      <c r="A51" s="7">
        <v>48</v>
      </c>
      <c r="B51" s="8">
        <v>42333</v>
      </c>
      <c r="C51" s="9" t="s">
        <v>44</v>
      </c>
      <c r="D51" s="10" t="s">
        <v>24</v>
      </c>
      <c r="E51" s="15">
        <v>-12491.763330780001</v>
      </c>
      <c r="F51" s="16">
        <v>-6.0507</v>
      </c>
      <c r="G51" s="13">
        <v>397.07161606970499</v>
      </c>
      <c r="H51" s="8">
        <v>42333</v>
      </c>
      <c r="I51" s="14">
        <v>2064.5154000000002</v>
      </c>
      <c r="J51" s="8">
        <v>42333</v>
      </c>
    </row>
    <row r="52" spans="1:10" x14ac:dyDescent="0.25">
      <c r="A52" s="7">
        <v>49</v>
      </c>
      <c r="B52" s="8">
        <v>42361</v>
      </c>
      <c r="C52" s="9" t="s">
        <v>45</v>
      </c>
      <c r="D52" s="10" t="s">
        <v>21</v>
      </c>
      <c r="E52" s="11">
        <v>1800.8850909600001</v>
      </c>
      <c r="F52" s="12">
        <v>0.86639999999999995</v>
      </c>
      <c r="G52" s="13">
        <v>397.93801606970499</v>
      </c>
      <c r="H52" s="8">
        <v>42366</v>
      </c>
      <c r="I52" s="14">
        <v>2078.5839000000001</v>
      </c>
      <c r="J52" s="8">
        <v>42361</v>
      </c>
    </row>
    <row r="53" spans="1:10" x14ac:dyDescent="0.25">
      <c r="A53" s="7">
        <v>50</v>
      </c>
      <c r="B53" s="8">
        <v>42363</v>
      </c>
      <c r="C53" s="9" t="s">
        <v>37</v>
      </c>
      <c r="D53" s="10" t="s">
        <v>21</v>
      </c>
      <c r="E53" s="11">
        <v>50000.000404320002</v>
      </c>
      <c r="F53" s="12">
        <v>24.454799999999999</v>
      </c>
      <c r="G53" s="13">
        <v>422.39281606970502</v>
      </c>
      <c r="H53" s="8">
        <v>42354</v>
      </c>
      <c r="I53" s="14">
        <v>2044.5884000000001</v>
      </c>
      <c r="J53" s="8">
        <v>42363</v>
      </c>
    </row>
    <row r="54" spans="1:10" x14ac:dyDescent="0.25">
      <c r="A54" s="7">
        <v>51</v>
      </c>
      <c r="B54" s="8">
        <v>42363</v>
      </c>
      <c r="C54" s="9" t="s">
        <v>38</v>
      </c>
      <c r="D54" s="10" t="s">
        <v>21</v>
      </c>
      <c r="E54" s="11">
        <v>47500.082167640001</v>
      </c>
      <c r="F54" s="12">
        <v>23.232099999999999</v>
      </c>
      <c r="G54" s="13">
        <v>445.62491606970502</v>
      </c>
      <c r="H54" s="8">
        <v>42354</v>
      </c>
      <c r="I54" s="14">
        <v>2044.5884000000001</v>
      </c>
      <c r="J54" s="8">
        <v>42363</v>
      </c>
    </row>
    <row r="55" spans="1:10" x14ac:dyDescent="0.25">
      <c r="A55" s="7">
        <v>52</v>
      </c>
      <c r="B55" s="8">
        <v>42363</v>
      </c>
      <c r="C55" s="9" t="s">
        <v>46</v>
      </c>
      <c r="D55" s="10" t="s">
        <v>24</v>
      </c>
      <c r="E55" s="15">
        <v>-15331.359357539999</v>
      </c>
      <c r="F55" s="16">
        <v>-7.3582000000000001</v>
      </c>
      <c r="G55" s="13">
        <v>438.26671606970501</v>
      </c>
      <c r="H55" s="8">
        <v>42367</v>
      </c>
      <c r="I55" s="14">
        <v>2083.5747000000001</v>
      </c>
      <c r="J55" s="8">
        <v>42363</v>
      </c>
    </row>
    <row r="56" spans="1:10" x14ac:dyDescent="0.25">
      <c r="A56" s="7">
        <v>53</v>
      </c>
      <c r="B56" s="8">
        <v>42363</v>
      </c>
      <c r="C56" s="9" t="s">
        <v>47</v>
      </c>
      <c r="D56" s="10" t="s">
        <v>24</v>
      </c>
      <c r="E56" s="15">
        <v>-12629.17132911</v>
      </c>
      <c r="F56" s="16">
        <v>-6.0613000000000001</v>
      </c>
      <c r="G56" s="13">
        <v>432.205416069705</v>
      </c>
      <c r="H56" s="8">
        <v>42367</v>
      </c>
      <c r="I56" s="14">
        <v>2083.5747000000001</v>
      </c>
      <c r="J56" s="8">
        <v>42363</v>
      </c>
    </row>
    <row r="57" spans="1:10" x14ac:dyDescent="0.25">
      <c r="A57" s="7">
        <v>54</v>
      </c>
      <c r="B57" s="8">
        <v>42394</v>
      </c>
      <c r="C57" s="9" t="s">
        <v>37</v>
      </c>
      <c r="D57" s="10" t="s">
        <v>21</v>
      </c>
      <c r="E57" s="11">
        <v>50000.0636772</v>
      </c>
      <c r="F57" s="12">
        <v>24.299099999999999</v>
      </c>
      <c r="G57" s="13">
        <v>456.50451606970501</v>
      </c>
      <c r="H57" s="8">
        <v>42356</v>
      </c>
      <c r="I57" s="14">
        <v>2057.692</v>
      </c>
      <c r="J57" s="8">
        <v>42394</v>
      </c>
    </row>
    <row r="58" spans="1:10" x14ac:dyDescent="0.25">
      <c r="A58" s="7">
        <v>55</v>
      </c>
      <c r="B58" s="8">
        <v>42394</v>
      </c>
      <c r="C58" s="9" t="s">
        <v>38</v>
      </c>
      <c r="D58" s="10" t="s">
        <v>21</v>
      </c>
      <c r="E58" s="11">
        <v>47499.967897199997</v>
      </c>
      <c r="F58" s="12">
        <v>23.084099999999999</v>
      </c>
      <c r="G58" s="13">
        <v>479.58861606970498</v>
      </c>
      <c r="H58" s="8">
        <v>42356</v>
      </c>
      <c r="I58" s="14">
        <v>2057.692</v>
      </c>
      <c r="J58" s="8">
        <v>42394</v>
      </c>
    </row>
    <row r="59" spans="1:10" x14ac:dyDescent="0.25">
      <c r="A59" s="7">
        <v>56</v>
      </c>
      <c r="B59" s="8">
        <v>42394</v>
      </c>
      <c r="C59" s="9" t="s">
        <v>48</v>
      </c>
      <c r="D59" s="10" t="s">
        <v>24</v>
      </c>
      <c r="E59" s="15">
        <v>-15188.547481600001</v>
      </c>
      <c r="F59" s="16">
        <v>-7.2640000000000002</v>
      </c>
      <c r="G59" s="13">
        <v>472.32461606970497</v>
      </c>
      <c r="H59" s="8">
        <v>42394</v>
      </c>
      <c r="I59" s="14">
        <v>2090.9344000000001</v>
      </c>
      <c r="J59" s="8">
        <v>42394</v>
      </c>
    </row>
    <row r="60" spans="1:10" x14ac:dyDescent="0.25">
      <c r="A60" s="7">
        <v>57</v>
      </c>
      <c r="B60" s="8">
        <v>42394</v>
      </c>
      <c r="C60" s="9" t="s">
        <v>49</v>
      </c>
      <c r="D60" s="10" t="s">
        <v>24</v>
      </c>
      <c r="E60" s="15">
        <v>-12511.524169279999</v>
      </c>
      <c r="F60" s="16">
        <v>-5.9836999999999998</v>
      </c>
      <c r="G60" s="13">
        <v>466.34091606970497</v>
      </c>
      <c r="H60" s="8">
        <v>42394</v>
      </c>
      <c r="I60" s="14">
        <v>2090.9344000000001</v>
      </c>
      <c r="J60" s="8">
        <v>42394</v>
      </c>
    </row>
    <row r="61" spans="1:10" x14ac:dyDescent="0.25">
      <c r="A61" s="7">
        <v>58</v>
      </c>
      <c r="B61" s="8">
        <v>42425</v>
      </c>
      <c r="C61" s="9" t="s">
        <v>37</v>
      </c>
      <c r="D61" s="10" t="s">
        <v>21</v>
      </c>
      <c r="E61" s="11">
        <v>50000.037223500003</v>
      </c>
      <c r="F61" s="12">
        <v>23.797499999999999</v>
      </c>
      <c r="G61" s="13">
        <v>490.13841606970499</v>
      </c>
      <c r="H61" s="8">
        <v>42376</v>
      </c>
      <c r="I61" s="14">
        <v>2101.0626000000002</v>
      </c>
      <c r="J61" s="8">
        <v>42425</v>
      </c>
    </row>
    <row r="62" spans="1:10" x14ac:dyDescent="0.25">
      <c r="A62" s="7">
        <v>59</v>
      </c>
      <c r="B62" s="8">
        <v>42425</v>
      </c>
      <c r="C62" s="9" t="s">
        <v>38</v>
      </c>
      <c r="D62" s="10" t="s">
        <v>21</v>
      </c>
      <c r="E62" s="11">
        <v>47499.982835759998</v>
      </c>
      <c r="F62" s="12">
        <v>22.607600000000001</v>
      </c>
      <c r="G62" s="13">
        <v>512.74601606970498</v>
      </c>
      <c r="H62" s="8">
        <v>42376</v>
      </c>
      <c r="I62" s="14">
        <v>2101.0626000000002</v>
      </c>
      <c r="J62" s="8">
        <v>42425</v>
      </c>
    </row>
    <row r="63" spans="1:10" x14ac:dyDescent="0.25">
      <c r="A63" s="7">
        <v>60</v>
      </c>
      <c r="B63" s="8">
        <v>42425</v>
      </c>
      <c r="C63" s="9" t="s">
        <v>50</v>
      </c>
      <c r="D63" s="10" t="s">
        <v>24</v>
      </c>
      <c r="E63" s="15">
        <v>-15678.33726875</v>
      </c>
      <c r="F63" s="16">
        <v>-7.1851000000000003</v>
      </c>
      <c r="G63" s="13">
        <v>505.560916069705</v>
      </c>
      <c r="H63" s="8">
        <v>42425</v>
      </c>
      <c r="I63" s="14">
        <v>2182.0625</v>
      </c>
      <c r="J63" s="8">
        <v>42425</v>
      </c>
    </row>
    <row r="64" spans="1:10" x14ac:dyDescent="0.25">
      <c r="A64" s="7">
        <v>61</v>
      </c>
      <c r="B64" s="8">
        <v>42425</v>
      </c>
      <c r="C64" s="9" t="s">
        <v>51</v>
      </c>
      <c r="D64" s="10" t="s">
        <v>24</v>
      </c>
      <c r="E64" s="15">
        <v>-12914.973318750001</v>
      </c>
      <c r="F64" s="16">
        <v>-5.9187000000000003</v>
      </c>
      <c r="G64" s="13">
        <v>499.642216069705</v>
      </c>
      <c r="H64" s="8">
        <v>42425</v>
      </c>
      <c r="I64" s="14">
        <v>2182.0625</v>
      </c>
      <c r="J64" s="8">
        <v>42425</v>
      </c>
    </row>
    <row r="65" spans="1:10" x14ac:dyDescent="0.25">
      <c r="A65" s="7">
        <v>62</v>
      </c>
      <c r="B65" s="8">
        <v>42454</v>
      </c>
      <c r="C65" s="9" t="s">
        <v>37</v>
      </c>
      <c r="D65" s="10" t="s">
        <v>21</v>
      </c>
      <c r="E65" s="11">
        <v>49999.984433409998</v>
      </c>
      <c r="F65" s="12">
        <v>23.937100000000001</v>
      </c>
      <c r="G65" s="13">
        <v>523.57931606970499</v>
      </c>
      <c r="H65" s="8">
        <v>42388</v>
      </c>
      <c r="I65" s="14">
        <v>2088.8071</v>
      </c>
      <c r="J65" s="8">
        <v>42454</v>
      </c>
    </row>
    <row r="66" spans="1:10" x14ac:dyDescent="0.25">
      <c r="A66" s="7">
        <v>63</v>
      </c>
      <c r="B66" s="8">
        <v>42454</v>
      </c>
      <c r="C66" s="9" t="s">
        <v>38</v>
      </c>
      <c r="D66" s="10" t="s">
        <v>21</v>
      </c>
      <c r="E66" s="11">
        <v>47500.100096130001</v>
      </c>
      <c r="F66" s="12">
        <v>22.740300000000001</v>
      </c>
      <c r="G66" s="13">
        <v>546.31961606970503</v>
      </c>
      <c r="H66" s="8">
        <v>42388</v>
      </c>
      <c r="I66" s="14">
        <v>2088.8071</v>
      </c>
      <c r="J66" s="8">
        <v>42454</v>
      </c>
    </row>
    <row r="67" spans="1:10" x14ac:dyDescent="0.25">
      <c r="A67" s="7">
        <v>64</v>
      </c>
      <c r="B67" s="8">
        <v>42454</v>
      </c>
      <c r="C67" s="9" t="s">
        <v>52</v>
      </c>
      <c r="D67" s="10" t="s">
        <v>24</v>
      </c>
      <c r="E67" s="15">
        <v>-16126.35931098</v>
      </c>
      <c r="F67" s="16">
        <v>-6.8394000000000004</v>
      </c>
      <c r="G67" s="13">
        <v>539.48021606970497</v>
      </c>
      <c r="H67" s="8">
        <v>42711</v>
      </c>
      <c r="I67" s="14">
        <v>2357.8616999999999</v>
      </c>
      <c r="J67" s="8">
        <v>42454</v>
      </c>
    </row>
    <row r="68" spans="1:10" x14ac:dyDescent="0.25">
      <c r="A68" s="7">
        <v>65</v>
      </c>
      <c r="B68" s="8">
        <v>42454</v>
      </c>
      <c r="C68" s="9" t="s">
        <v>53</v>
      </c>
      <c r="D68" s="10" t="s">
        <v>24</v>
      </c>
      <c r="E68" s="15">
        <v>-13284.1928178</v>
      </c>
      <c r="F68" s="16">
        <v>-5.6340000000000003</v>
      </c>
      <c r="G68" s="13">
        <v>533.84621606970495</v>
      </c>
      <c r="H68" s="8">
        <v>42711</v>
      </c>
      <c r="I68" s="14">
        <v>2357.8616999999999</v>
      </c>
      <c r="J68" s="8">
        <v>42454</v>
      </c>
    </row>
    <row r="69" spans="1:10" x14ac:dyDescent="0.25">
      <c r="A69" s="7">
        <v>66</v>
      </c>
      <c r="B69" s="8">
        <v>42485</v>
      </c>
      <c r="C69" s="9" t="s">
        <v>37</v>
      </c>
      <c r="D69" s="10" t="s">
        <v>21</v>
      </c>
      <c r="E69" s="11">
        <v>50000.095719559999</v>
      </c>
      <c r="F69" s="12">
        <v>22.516400000000001</v>
      </c>
      <c r="G69" s="13">
        <v>556.36261606970504</v>
      </c>
      <c r="H69" s="8">
        <v>42417</v>
      </c>
      <c r="I69" s="14">
        <v>2220.6079</v>
      </c>
      <c r="J69" s="8">
        <v>42485</v>
      </c>
    </row>
    <row r="70" spans="1:10" x14ac:dyDescent="0.25">
      <c r="A70" s="7">
        <v>67</v>
      </c>
      <c r="B70" s="8">
        <v>42485</v>
      </c>
      <c r="C70" s="9" t="s">
        <v>38</v>
      </c>
      <c r="D70" s="10" t="s">
        <v>21</v>
      </c>
      <c r="E70" s="11">
        <v>47499.913284950002</v>
      </c>
      <c r="F70" s="12">
        <v>21.390499999999999</v>
      </c>
      <c r="G70" s="13">
        <v>577.75311606970502</v>
      </c>
      <c r="H70" s="8">
        <v>42417</v>
      </c>
      <c r="I70" s="14">
        <v>2220.6079</v>
      </c>
      <c r="J70" s="8">
        <v>42485</v>
      </c>
    </row>
    <row r="71" spans="1:10" x14ac:dyDescent="0.25">
      <c r="A71" s="7">
        <v>68</v>
      </c>
      <c r="B71" s="8">
        <v>42485</v>
      </c>
      <c r="C71" s="9" t="s">
        <v>54</v>
      </c>
      <c r="D71" s="10" t="s">
        <v>24</v>
      </c>
      <c r="E71" s="15">
        <v>-15863.35119759</v>
      </c>
      <c r="F71" s="16">
        <v>-6.7896999999999998</v>
      </c>
      <c r="G71" s="13">
        <v>570.96341606970498</v>
      </c>
      <c r="H71" s="8">
        <v>42485</v>
      </c>
      <c r="I71" s="14">
        <v>2336.3847000000001</v>
      </c>
      <c r="J71" s="8">
        <v>42485</v>
      </c>
    </row>
    <row r="72" spans="1:10" x14ac:dyDescent="0.25">
      <c r="A72" s="7">
        <v>69</v>
      </c>
      <c r="B72" s="8">
        <v>42485</v>
      </c>
      <c r="C72" s="9" t="s">
        <v>55</v>
      </c>
      <c r="D72" s="10" t="s">
        <v>24</v>
      </c>
      <c r="E72" s="15">
        <v>-13067.3996271</v>
      </c>
      <c r="F72" s="16">
        <v>-5.593</v>
      </c>
      <c r="G72" s="13">
        <v>565.37041606970502</v>
      </c>
      <c r="H72" s="8">
        <v>42485</v>
      </c>
      <c r="I72" s="14">
        <v>2336.3847000000001</v>
      </c>
      <c r="J72" s="8">
        <v>42485</v>
      </c>
    </row>
    <row r="73" spans="1:10" x14ac:dyDescent="0.25">
      <c r="A73" s="7">
        <v>70</v>
      </c>
      <c r="B73" s="8">
        <v>42515</v>
      </c>
      <c r="C73" s="9" t="s">
        <v>37</v>
      </c>
      <c r="D73" s="10" t="s">
        <v>21</v>
      </c>
      <c r="E73" s="11">
        <v>50000.035144499998</v>
      </c>
      <c r="F73" s="12">
        <v>21.734999999999999</v>
      </c>
      <c r="G73" s="13">
        <v>587.10541606970503</v>
      </c>
      <c r="H73" s="8">
        <v>42447</v>
      </c>
      <c r="I73" s="14">
        <v>2300.4387000000002</v>
      </c>
      <c r="J73" s="8">
        <v>42515</v>
      </c>
    </row>
    <row r="74" spans="1:10" x14ac:dyDescent="0.25">
      <c r="A74" s="7">
        <v>71</v>
      </c>
      <c r="B74" s="8">
        <v>42515</v>
      </c>
      <c r="C74" s="9" t="s">
        <v>38</v>
      </c>
      <c r="D74" s="10" t="s">
        <v>21</v>
      </c>
      <c r="E74" s="11">
        <v>47499.918365340003</v>
      </c>
      <c r="F74" s="12">
        <v>20.648199999999999</v>
      </c>
      <c r="G74" s="13">
        <v>607.753616069705</v>
      </c>
      <c r="H74" s="8">
        <v>42447</v>
      </c>
      <c r="I74" s="14">
        <v>2300.4387000000002</v>
      </c>
      <c r="J74" s="8">
        <v>42515</v>
      </c>
    </row>
    <row r="75" spans="1:10" x14ac:dyDescent="0.25">
      <c r="A75" s="7">
        <v>72</v>
      </c>
      <c r="B75" s="8">
        <v>42515</v>
      </c>
      <c r="C75" s="9" t="s">
        <v>56</v>
      </c>
      <c r="D75" s="10" t="s">
        <v>24</v>
      </c>
      <c r="E75" s="15">
        <v>-15798.8118528</v>
      </c>
      <c r="F75" s="16">
        <v>-6.8159999999999998</v>
      </c>
      <c r="G75" s="13">
        <v>600.93761606970497</v>
      </c>
      <c r="H75" s="8">
        <v>42515</v>
      </c>
      <c r="I75" s="14">
        <v>2317.9007999999999</v>
      </c>
      <c r="J75" s="8">
        <v>42515</v>
      </c>
    </row>
    <row r="76" spans="1:10" x14ac:dyDescent="0.25">
      <c r="A76" s="7">
        <v>73</v>
      </c>
      <c r="B76" s="8">
        <v>42515</v>
      </c>
      <c r="C76" s="9" t="s">
        <v>57</v>
      </c>
      <c r="D76" s="10" t="s">
        <v>24</v>
      </c>
      <c r="E76" s="15">
        <v>-13014.08583168</v>
      </c>
      <c r="F76" s="16">
        <v>-5.6146000000000003</v>
      </c>
      <c r="G76" s="13">
        <v>595.32301606970498</v>
      </c>
      <c r="H76" s="8">
        <v>42515</v>
      </c>
      <c r="I76" s="14">
        <v>2317.9007999999999</v>
      </c>
      <c r="J76" s="8">
        <v>42515</v>
      </c>
    </row>
    <row r="77" spans="1:10" x14ac:dyDescent="0.25">
      <c r="A77" s="7">
        <v>74</v>
      </c>
      <c r="B77" s="8">
        <v>42546</v>
      </c>
      <c r="C77" s="9" t="s">
        <v>37</v>
      </c>
      <c r="D77" s="10" t="s">
        <v>21</v>
      </c>
      <c r="E77" s="11">
        <v>50000.061128599998</v>
      </c>
      <c r="F77" s="12">
        <v>21.3917</v>
      </c>
      <c r="G77" s="13">
        <v>616.71471606970499</v>
      </c>
      <c r="H77" s="8">
        <v>42479</v>
      </c>
      <c r="I77" s="14">
        <v>2337.3580000000002</v>
      </c>
      <c r="J77" s="8">
        <v>42546</v>
      </c>
    </row>
    <row r="78" spans="1:10" x14ac:dyDescent="0.25">
      <c r="A78" s="7">
        <v>75</v>
      </c>
      <c r="B78" s="8">
        <v>42546</v>
      </c>
      <c r="C78" s="9" t="s">
        <v>38</v>
      </c>
      <c r="D78" s="10" t="s">
        <v>21</v>
      </c>
      <c r="E78" s="11">
        <v>47500.023011800004</v>
      </c>
      <c r="F78" s="12">
        <v>20.322099999999999</v>
      </c>
      <c r="G78" s="13">
        <v>637.03681606970497</v>
      </c>
      <c r="H78" s="8">
        <v>42479</v>
      </c>
      <c r="I78" s="14">
        <v>2337.3580000000002</v>
      </c>
      <c r="J78" s="8">
        <v>42546</v>
      </c>
    </row>
    <row r="79" spans="1:10" x14ac:dyDescent="0.25">
      <c r="A79" s="7">
        <v>76</v>
      </c>
      <c r="B79" s="8">
        <v>42546</v>
      </c>
      <c r="C79" s="9" t="s">
        <v>58</v>
      </c>
      <c r="D79" s="10" t="s">
        <v>24</v>
      </c>
      <c r="E79" s="15">
        <v>-15846.72503272</v>
      </c>
      <c r="F79" s="16">
        <v>-6.7051999999999996</v>
      </c>
      <c r="G79" s="13">
        <v>630.33161606970498</v>
      </c>
      <c r="H79" s="8">
        <v>42548</v>
      </c>
      <c r="I79" s="14">
        <v>2363.3485999999998</v>
      </c>
      <c r="J79" s="8">
        <v>42546</v>
      </c>
    </row>
    <row r="80" spans="1:10" x14ac:dyDescent="0.25">
      <c r="A80" s="7">
        <v>77</v>
      </c>
      <c r="B80" s="8">
        <v>42546</v>
      </c>
      <c r="C80" s="9" t="s">
        <v>59</v>
      </c>
      <c r="D80" s="10" t="s">
        <v>24</v>
      </c>
      <c r="E80" s="15">
        <v>-13053.719657240001</v>
      </c>
      <c r="F80" s="16">
        <v>-5.5233999999999996</v>
      </c>
      <c r="G80" s="13">
        <v>624.80821606970505</v>
      </c>
      <c r="H80" s="8">
        <v>42548</v>
      </c>
      <c r="I80" s="14">
        <v>2363.3485999999998</v>
      </c>
      <c r="J80" s="8">
        <v>42546</v>
      </c>
    </row>
    <row r="81" spans="1:10" x14ac:dyDescent="0.25">
      <c r="A81" s="7">
        <v>78</v>
      </c>
      <c r="B81" s="8">
        <v>42576</v>
      </c>
      <c r="C81" s="9" t="s">
        <v>37</v>
      </c>
      <c r="D81" s="10" t="s">
        <v>21</v>
      </c>
      <c r="E81" s="11">
        <v>50000.01719395</v>
      </c>
      <c r="F81" s="12">
        <v>21.740500000000001</v>
      </c>
      <c r="G81" s="13">
        <v>646.54871606970505</v>
      </c>
      <c r="H81" s="8">
        <v>42508</v>
      </c>
      <c r="I81" s="14">
        <v>2299.8559</v>
      </c>
      <c r="J81" s="8">
        <v>42576</v>
      </c>
    </row>
    <row r="82" spans="1:10" x14ac:dyDescent="0.25">
      <c r="A82" s="7">
        <v>79</v>
      </c>
      <c r="B82" s="8">
        <v>42576</v>
      </c>
      <c r="C82" s="9" t="s">
        <v>38</v>
      </c>
      <c r="D82" s="10" t="s">
        <v>21</v>
      </c>
      <c r="E82" s="11">
        <v>47500.073830649999</v>
      </c>
      <c r="F82" s="12">
        <v>20.653500000000001</v>
      </c>
      <c r="G82" s="13">
        <v>667.20221606970495</v>
      </c>
      <c r="H82" s="8">
        <v>42508</v>
      </c>
      <c r="I82" s="14">
        <v>2299.8559</v>
      </c>
      <c r="J82" s="8">
        <v>42576</v>
      </c>
    </row>
    <row r="83" spans="1:10" x14ac:dyDescent="0.25">
      <c r="A83" s="7">
        <v>80</v>
      </c>
      <c r="B83" s="8">
        <v>42576</v>
      </c>
      <c r="C83" s="9" t="s">
        <v>60</v>
      </c>
      <c r="D83" s="10" t="s">
        <v>24</v>
      </c>
      <c r="E83" s="15">
        <v>-16302.68331982</v>
      </c>
      <c r="F83" s="16">
        <v>-6.5323000000000002</v>
      </c>
      <c r="G83" s="13">
        <v>660.66991606970498</v>
      </c>
      <c r="H83" s="8">
        <v>42578</v>
      </c>
      <c r="I83" s="14">
        <v>2495.7033999999999</v>
      </c>
      <c r="J83" s="8">
        <v>42576</v>
      </c>
    </row>
    <row r="84" spans="1:10" x14ac:dyDescent="0.25">
      <c r="A84" s="7">
        <v>81</v>
      </c>
      <c r="B84" s="8">
        <v>42576</v>
      </c>
      <c r="C84" s="9" t="s">
        <v>61</v>
      </c>
      <c r="D84" s="10" t="s">
        <v>24</v>
      </c>
      <c r="E84" s="15">
        <v>-13429.379995400001</v>
      </c>
      <c r="F84" s="16">
        <v>-5.3810000000000002</v>
      </c>
      <c r="G84" s="13">
        <v>655.28891606970501</v>
      </c>
      <c r="H84" s="8">
        <v>42578</v>
      </c>
      <c r="I84" s="14">
        <v>2495.7033999999999</v>
      </c>
      <c r="J84" s="8">
        <v>42576</v>
      </c>
    </row>
    <row r="85" spans="1:10" x14ac:dyDescent="0.25">
      <c r="A85" s="7">
        <v>82</v>
      </c>
      <c r="B85" s="8">
        <v>42607</v>
      </c>
      <c r="C85" s="9" t="s">
        <v>37</v>
      </c>
      <c r="D85" s="10" t="s">
        <v>21</v>
      </c>
      <c r="E85" s="11">
        <v>49999.989179919998</v>
      </c>
      <c r="F85" s="12">
        <v>21.1738</v>
      </c>
      <c r="G85" s="13">
        <v>676.46271606970504</v>
      </c>
      <c r="H85" s="8">
        <v>42538</v>
      </c>
      <c r="I85" s="14">
        <v>2361.4083999999998</v>
      </c>
      <c r="J85" s="8">
        <v>42607</v>
      </c>
    </row>
    <row r="86" spans="1:10" x14ac:dyDescent="0.25">
      <c r="A86" s="7">
        <v>83</v>
      </c>
      <c r="B86" s="8">
        <v>42607</v>
      </c>
      <c r="C86" s="9" t="s">
        <v>38</v>
      </c>
      <c r="D86" s="10" t="s">
        <v>21</v>
      </c>
      <c r="E86" s="11">
        <v>47499.966106840002</v>
      </c>
      <c r="F86" s="12">
        <v>20.115100000000002</v>
      </c>
      <c r="G86" s="13">
        <v>696.57781606970502</v>
      </c>
      <c r="H86" s="8">
        <v>42538</v>
      </c>
      <c r="I86" s="14">
        <v>2361.4083999999998</v>
      </c>
      <c r="J86" s="8">
        <v>42607</v>
      </c>
    </row>
    <row r="87" spans="1:10" x14ac:dyDescent="0.25">
      <c r="A87" s="7">
        <v>84</v>
      </c>
      <c r="B87" s="8">
        <v>42607</v>
      </c>
      <c r="C87" s="9" t="s">
        <v>62</v>
      </c>
      <c r="D87" s="10" t="s">
        <v>24</v>
      </c>
      <c r="E87" s="15">
        <v>-16554.639029760001</v>
      </c>
      <c r="F87" s="16">
        <v>-6.3936000000000002</v>
      </c>
      <c r="G87" s="13">
        <v>690.18421606970503</v>
      </c>
      <c r="H87" s="8">
        <v>42607</v>
      </c>
      <c r="I87" s="14">
        <v>2589.2516000000001</v>
      </c>
      <c r="J87" s="8">
        <v>42607</v>
      </c>
    </row>
    <row r="88" spans="1:10" x14ac:dyDescent="0.25">
      <c r="A88" s="7">
        <v>85</v>
      </c>
      <c r="B88" s="8">
        <v>42607</v>
      </c>
      <c r="C88" s="9" t="s">
        <v>63</v>
      </c>
      <c r="D88" s="10" t="s">
        <v>24</v>
      </c>
      <c r="E88" s="15">
        <v>-13636.811401720001</v>
      </c>
      <c r="F88" s="16">
        <v>-5.2667000000000002</v>
      </c>
      <c r="G88" s="13">
        <v>684.91751606970502</v>
      </c>
      <c r="H88" s="8">
        <v>42607</v>
      </c>
      <c r="I88" s="14">
        <v>2589.2516000000001</v>
      </c>
      <c r="J88" s="8">
        <v>42607</v>
      </c>
    </row>
    <row r="89" spans="1:10" x14ac:dyDescent="0.25">
      <c r="A89" s="7">
        <v>86</v>
      </c>
      <c r="B89" s="8">
        <v>42638</v>
      </c>
      <c r="C89" s="9" t="s">
        <v>64</v>
      </c>
      <c r="D89" s="10" t="s">
        <v>21</v>
      </c>
      <c r="E89" s="11">
        <v>721.98054197500005</v>
      </c>
      <c r="F89" s="12">
        <v>0.28325</v>
      </c>
      <c r="G89" s="13">
        <v>685.20076606970497</v>
      </c>
      <c r="H89" s="8">
        <v>42639</v>
      </c>
      <c r="I89" s="14">
        <v>2548.9162999999999</v>
      </c>
      <c r="J89" s="8">
        <v>42638</v>
      </c>
    </row>
    <row r="90" spans="1:10" x14ac:dyDescent="0.25">
      <c r="A90" s="7">
        <v>87</v>
      </c>
      <c r="B90" s="8">
        <v>42638</v>
      </c>
      <c r="C90" s="9" t="s">
        <v>64</v>
      </c>
      <c r="D90" s="10" t="s">
        <v>21</v>
      </c>
      <c r="E90" s="11">
        <v>915.85111575300004</v>
      </c>
      <c r="F90" s="12">
        <v>0.35931000000000002</v>
      </c>
      <c r="G90" s="13">
        <v>685.56007606970502</v>
      </c>
      <c r="H90" s="8">
        <v>42639</v>
      </c>
      <c r="I90" s="14">
        <v>2548.9162999999999</v>
      </c>
      <c r="J90" s="8">
        <v>42638</v>
      </c>
    </row>
    <row r="91" spans="1:10" x14ac:dyDescent="0.25">
      <c r="A91" s="7">
        <v>88</v>
      </c>
      <c r="B91" s="8">
        <v>42638</v>
      </c>
      <c r="C91" s="9" t="s">
        <v>65</v>
      </c>
      <c r="D91" s="10" t="s">
        <v>21</v>
      </c>
      <c r="E91" s="11">
        <v>75000.102901599996</v>
      </c>
      <c r="F91" s="12">
        <v>30.452000000000002</v>
      </c>
      <c r="G91" s="13">
        <v>716.01207606970502</v>
      </c>
      <c r="H91" s="8">
        <v>42570</v>
      </c>
      <c r="I91" s="14">
        <v>2462.8957999999998</v>
      </c>
      <c r="J91" s="8">
        <v>42638</v>
      </c>
    </row>
    <row r="92" spans="1:10" x14ac:dyDescent="0.25">
      <c r="A92" s="7">
        <v>89</v>
      </c>
      <c r="B92" s="8">
        <v>42638</v>
      </c>
      <c r="C92" s="9" t="s">
        <v>66</v>
      </c>
      <c r="D92" s="10" t="s">
        <v>21</v>
      </c>
      <c r="E92" s="11">
        <v>47499.900977960002</v>
      </c>
      <c r="F92" s="12">
        <v>19.286200000000001</v>
      </c>
      <c r="G92" s="13">
        <v>735.29827606970503</v>
      </c>
      <c r="H92" s="8">
        <v>42570</v>
      </c>
      <c r="I92" s="14">
        <v>2462.8957999999998</v>
      </c>
      <c r="J92" s="8">
        <v>42638</v>
      </c>
    </row>
    <row r="93" spans="1:10" x14ac:dyDescent="0.25">
      <c r="A93" s="7">
        <v>90</v>
      </c>
      <c r="B93" s="8">
        <v>42638</v>
      </c>
      <c r="C93" s="9" t="s">
        <v>67</v>
      </c>
      <c r="D93" s="10" t="s">
        <v>24</v>
      </c>
      <c r="E93" s="15">
        <v>-18317.02231506</v>
      </c>
      <c r="F93" s="16">
        <v>-7.1862000000000004</v>
      </c>
      <c r="G93" s="13">
        <v>728.11207606970504</v>
      </c>
      <c r="H93" s="8">
        <v>42639</v>
      </c>
      <c r="I93" s="14">
        <v>2548.9162999999999</v>
      </c>
      <c r="J93" s="8">
        <v>42638</v>
      </c>
    </row>
    <row r="94" spans="1:10" x14ac:dyDescent="0.25">
      <c r="A94" s="7">
        <v>91</v>
      </c>
      <c r="B94" s="8">
        <v>42638</v>
      </c>
      <c r="C94" s="9" t="s">
        <v>68</v>
      </c>
      <c r="D94" s="10" t="s">
        <v>24</v>
      </c>
      <c r="E94" s="15">
        <v>-14439.610839499999</v>
      </c>
      <c r="F94" s="16">
        <v>-5.665</v>
      </c>
      <c r="G94" s="13">
        <v>722.44707606970496</v>
      </c>
      <c r="H94" s="8">
        <v>42639</v>
      </c>
      <c r="I94" s="14">
        <v>2548.9162999999999</v>
      </c>
      <c r="J94" s="8">
        <v>42638</v>
      </c>
    </row>
    <row r="95" spans="1:10" x14ac:dyDescent="0.25">
      <c r="A95" s="7">
        <v>92</v>
      </c>
      <c r="B95" s="8">
        <v>42668</v>
      </c>
      <c r="C95" s="9" t="s">
        <v>65</v>
      </c>
      <c r="D95" s="10" t="s">
        <v>21</v>
      </c>
      <c r="E95" s="11">
        <v>74999.961239280005</v>
      </c>
      <c r="F95" s="12">
        <v>29.059799999999999</v>
      </c>
      <c r="G95" s="13">
        <v>751.50687606970496</v>
      </c>
      <c r="H95" s="8">
        <v>42600</v>
      </c>
      <c r="I95" s="14">
        <v>2580.8836000000001</v>
      </c>
      <c r="J95" s="8">
        <v>42668</v>
      </c>
    </row>
    <row r="96" spans="1:10" x14ac:dyDescent="0.25">
      <c r="A96" s="7">
        <v>93</v>
      </c>
      <c r="B96" s="8">
        <v>42668</v>
      </c>
      <c r="C96" s="9" t="s">
        <v>66</v>
      </c>
      <c r="D96" s="10" t="s">
        <v>21</v>
      </c>
      <c r="E96" s="11">
        <v>47499.872216199998</v>
      </c>
      <c r="F96" s="12">
        <v>18.404499999999999</v>
      </c>
      <c r="G96" s="13">
        <v>769.91137606970506</v>
      </c>
      <c r="H96" s="8">
        <v>42600</v>
      </c>
      <c r="I96" s="14">
        <v>2580.8836000000001</v>
      </c>
      <c r="J96" s="8">
        <v>42668</v>
      </c>
    </row>
    <row r="97" spans="1:10" x14ac:dyDescent="0.25">
      <c r="A97" s="7">
        <v>94</v>
      </c>
      <c r="B97" s="8">
        <v>42668</v>
      </c>
      <c r="C97" s="9" t="s">
        <v>64</v>
      </c>
      <c r="D97" s="10" t="s">
        <v>21</v>
      </c>
      <c r="E97" s="11">
        <v>915.64656883299995</v>
      </c>
      <c r="F97" s="12">
        <v>0.36648999999999998</v>
      </c>
      <c r="G97" s="13">
        <v>770.27786606970506</v>
      </c>
      <c r="H97" s="8">
        <v>42668</v>
      </c>
      <c r="I97" s="14">
        <v>2498.4216999999999</v>
      </c>
      <c r="J97" s="8">
        <v>42668</v>
      </c>
    </row>
    <row r="98" spans="1:10" x14ac:dyDescent="0.25">
      <c r="A98" s="7">
        <v>95</v>
      </c>
      <c r="B98" s="8">
        <v>42668</v>
      </c>
      <c r="C98" s="9" t="s">
        <v>64</v>
      </c>
      <c r="D98" s="10" t="s">
        <v>21</v>
      </c>
      <c r="E98" s="11">
        <v>721.81901334700001</v>
      </c>
      <c r="F98" s="12">
        <v>0.28891</v>
      </c>
      <c r="G98" s="13">
        <v>770.56677606970504</v>
      </c>
      <c r="H98" s="8">
        <v>42668</v>
      </c>
      <c r="I98" s="14">
        <v>2498.4216999999999</v>
      </c>
      <c r="J98" s="8">
        <v>42668</v>
      </c>
    </row>
    <row r="99" spans="1:10" x14ac:dyDescent="0.25">
      <c r="A99" s="7">
        <v>96</v>
      </c>
      <c r="B99" s="8">
        <v>42668</v>
      </c>
      <c r="C99" s="9" t="s">
        <v>69</v>
      </c>
      <c r="D99" s="10" t="s">
        <v>24</v>
      </c>
      <c r="E99" s="15">
        <v>-18312.931376659999</v>
      </c>
      <c r="F99" s="16">
        <v>-7.3297999999999996</v>
      </c>
      <c r="G99" s="13">
        <v>763.23697606970495</v>
      </c>
      <c r="H99" s="8">
        <v>42668</v>
      </c>
      <c r="I99" s="14">
        <v>2498.4216999999999</v>
      </c>
      <c r="J99" s="8">
        <v>42668</v>
      </c>
    </row>
    <row r="100" spans="1:10" x14ac:dyDescent="0.25">
      <c r="A100" s="7">
        <v>97</v>
      </c>
      <c r="B100" s="8">
        <v>42668</v>
      </c>
      <c r="C100" s="9" t="s">
        <v>70</v>
      </c>
      <c r="D100" s="10" t="s">
        <v>24</v>
      </c>
      <c r="E100" s="15">
        <v>-14436.380266939999</v>
      </c>
      <c r="F100" s="16">
        <v>-5.7782</v>
      </c>
      <c r="G100" s="13">
        <v>757.45877606970498</v>
      </c>
      <c r="H100" s="8">
        <v>42668</v>
      </c>
      <c r="I100" s="14">
        <v>2498.4216999999999</v>
      </c>
      <c r="J100" s="8">
        <v>42668</v>
      </c>
    </row>
    <row r="101" spans="1:10" x14ac:dyDescent="0.25">
      <c r="A101" s="7">
        <v>98</v>
      </c>
      <c r="B101" s="8">
        <v>42699</v>
      </c>
      <c r="C101" s="9" t="s">
        <v>65</v>
      </c>
      <c r="D101" s="10" t="s">
        <v>21</v>
      </c>
      <c r="E101" s="11">
        <v>74999.96341076</v>
      </c>
      <c r="F101" s="12">
        <v>29.478200000000001</v>
      </c>
      <c r="G101" s="13">
        <v>786.936976069705</v>
      </c>
      <c r="H101" s="8">
        <v>42633</v>
      </c>
      <c r="I101" s="14">
        <v>2544.2518</v>
      </c>
      <c r="J101" s="8">
        <v>42699</v>
      </c>
    </row>
    <row r="102" spans="1:10" x14ac:dyDescent="0.25">
      <c r="A102" s="7">
        <v>99</v>
      </c>
      <c r="B102" s="8">
        <v>42699</v>
      </c>
      <c r="C102" s="9" t="s">
        <v>66</v>
      </c>
      <c r="D102" s="10" t="s">
        <v>21</v>
      </c>
      <c r="E102" s="11">
        <v>47499.908980100001</v>
      </c>
      <c r="F102" s="12">
        <v>18.669499999999999</v>
      </c>
      <c r="G102" s="13">
        <v>805.60647606970497</v>
      </c>
      <c r="H102" s="8">
        <v>42633</v>
      </c>
      <c r="I102" s="14">
        <v>2544.2518</v>
      </c>
      <c r="J102" s="8">
        <v>42699</v>
      </c>
    </row>
    <row r="103" spans="1:10" x14ac:dyDescent="0.25">
      <c r="A103" s="7">
        <v>100</v>
      </c>
      <c r="B103" s="8">
        <v>42699</v>
      </c>
      <c r="C103" s="9" t="s">
        <v>71</v>
      </c>
      <c r="D103" s="10" t="s">
        <v>24</v>
      </c>
      <c r="E103" s="15">
        <v>-16636.15574075</v>
      </c>
      <c r="F103" s="16">
        <v>-7.2474999999999996</v>
      </c>
      <c r="G103" s="13">
        <v>798.35897606970502</v>
      </c>
      <c r="H103" s="8">
        <v>42699</v>
      </c>
      <c r="I103" s="14">
        <v>2295.4337</v>
      </c>
      <c r="J103" s="8">
        <v>42699</v>
      </c>
    </row>
    <row r="104" spans="1:10" x14ac:dyDescent="0.25">
      <c r="A104" s="7">
        <v>101</v>
      </c>
      <c r="B104" s="8">
        <v>42699</v>
      </c>
      <c r="C104" s="9" t="s">
        <v>72</v>
      </c>
      <c r="D104" s="10" t="s">
        <v>24</v>
      </c>
      <c r="E104" s="15">
        <v>-13114.50135821</v>
      </c>
      <c r="F104" s="16">
        <v>-5.7133000000000003</v>
      </c>
      <c r="G104" s="13">
        <v>792.64567606970502</v>
      </c>
      <c r="H104" s="8">
        <v>42699</v>
      </c>
      <c r="I104" s="14">
        <v>2295.4337</v>
      </c>
      <c r="J104" s="8">
        <v>42699</v>
      </c>
    </row>
    <row r="105" spans="1:10" x14ac:dyDescent="0.25">
      <c r="A105" s="7">
        <v>102</v>
      </c>
      <c r="B105" s="8">
        <v>42729</v>
      </c>
      <c r="C105" s="9" t="s">
        <v>65</v>
      </c>
      <c r="D105" s="10" t="s">
        <v>21</v>
      </c>
      <c r="E105" s="11">
        <v>74999.917952079995</v>
      </c>
      <c r="F105" s="12">
        <v>30.781300000000002</v>
      </c>
      <c r="G105" s="13">
        <v>823.42697606970501</v>
      </c>
      <c r="H105" s="8">
        <v>42683</v>
      </c>
      <c r="I105" s="14">
        <v>2436.5416</v>
      </c>
      <c r="J105" s="8">
        <v>42729</v>
      </c>
    </row>
    <row r="106" spans="1:10" x14ac:dyDescent="0.25">
      <c r="A106" s="7">
        <v>103</v>
      </c>
      <c r="B106" s="8">
        <v>42729</v>
      </c>
      <c r="C106" s="9" t="s">
        <v>66</v>
      </c>
      <c r="D106" s="10" t="s">
        <v>21</v>
      </c>
      <c r="E106" s="11">
        <v>47499.891183680003</v>
      </c>
      <c r="F106" s="12">
        <v>19.494800000000001</v>
      </c>
      <c r="G106" s="13">
        <v>842.92177606970495</v>
      </c>
      <c r="H106" s="8">
        <v>42683</v>
      </c>
      <c r="I106" s="14">
        <v>2436.5416</v>
      </c>
      <c r="J106" s="8">
        <v>42729</v>
      </c>
    </row>
    <row r="107" spans="1:10" x14ac:dyDescent="0.25">
      <c r="A107" s="7">
        <v>104</v>
      </c>
      <c r="B107" s="8">
        <v>42729</v>
      </c>
      <c r="C107" s="9" t="s">
        <v>73</v>
      </c>
      <c r="D107" s="10" t="s">
        <v>24</v>
      </c>
      <c r="E107" s="15">
        <v>-16740.2514825</v>
      </c>
      <c r="F107" s="16">
        <v>-7.5049999999999999</v>
      </c>
      <c r="G107" s="13">
        <v>835.41677606970495</v>
      </c>
      <c r="H107" s="8">
        <v>42731</v>
      </c>
      <c r="I107" s="14">
        <v>2230.5464999999999</v>
      </c>
      <c r="J107" s="8">
        <v>42729</v>
      </c>
    </row>
    <row r="108" spans="1:10" x14ac:dyDescent="0.25">
      <c r="A108" s="7">
        <v>105</v>
      </c>
      <c r="B108" s="8">
        <v>42729</v>
      </c>
      <c r="C108" s="9" t="s">
        <v>74</v>
      </c>
      <c r="D108" s="10" t="s">
        <v>24</v>
      </c>
      <c r="E108" s="15">
        <v>-13196.58225795</v>
      </c>
      <c r="F108" s="16">
        <v>-5.9162999999999997</v>
      </c>
      <c r="G108" s="13">
        <v>829.50047606970497</v>
      </c>
      <c r="H108" s="8">
        <v>42731</v>
      </c>
      <c r="I108" s="14">
        <v>2230.5464999999999</v>
      </c>
      <c r="J108" s="8">
        <v>42729</v>
      </c>
    </row>
    <row r="109" spans="1:10" x14ac:dyDescent="0.25">
      <c r="A109" s="7">
        <v>106</v>
      </c>
      <c r="B109" s="8">
        <v>42760</v>
      </c>
      <c r="C109" s="9" t="s">
        <v>65</v>
      </c>
      <c r="D109" s="10" t="s">
        <v>21</v>
      </c>
      <c r="E109" s="11">
        <v>74999.909540950001</v>
      </c>
      <c r="F109" s="12">
        <v>32.130499999999998</v>
      </c>
      <c r="G109" s="13">
        <v>861.63097606970496</v>
      </c>
      <c r="H109" s="8">
        <v>42692</v>
      </c>
      <c r="I109" s="14">
        <v>2334.2278999999999</v>
      </c>
      <c r="J109" s="8">
        <v>42760</v>
      </c>
    </row>
    <row r="110" spans="1:10" x14ac:dyDescent="0.25">
      <c r="A110" s="7">
        <v>107</v>
      </c>
      <c r="B110" s="8">
        <v>42760</v>
      </c>
      <c r="C110" s="9" t="s">
        <v>66</v>
      </c>
      <c r="D110" s="10" t="s">
        <v>21</v>
      </c>
      <c r="E110" s="11">
        <v>47499.903805469999</v>
      </c>
      <c r="F110" s="12">
        <v>20.349299999999999</v>
      </c>
      <c r="G110" s="13">
        <v>881.98027606970504</v>
      </c>
      <c r="H110" s="8">
        <v>42692</v>
      </c>
      <c r="I110" s="14">
        <v>2334.2278999999999</v>
      </c>
      <c r="J110" s="8">
        <v>42760</v>
      </c>
    </row>
    <row r="111" spans="1:10" x14ac:dyDescent="0.25">
      <c r="A111" s="7">
        <v>108</v>
      </c>
      <c r="B111" s="8">
        <v>42760</v>
      </c>
      <c r="C111" s="9" t="s">
        <v>75</v>
      </c>
      <c r="D111" s="10" t="s">
        <v>24</v>
      </c>
      <c r="E111" s="15">
        <v>-15979.94354156</v>
      </c>
      <c r="F111" s="16">
        <v>-6.7742000000000004</v>
      </c>
      <c r="G111" s="13">
        <v>875.20607606970498</v>
      </c>
      <c r="H111" s="8">
        <v>42760</v>
      </c>
      <c r="I111" s="14">
        <v>2358.9418000000001</v>
      </c>
      <c r="J111" s="8">
        <v>42760</v>
      </c>
    </row>
    <row r="112" spans="1:10" x14ac:dyDescent="0.25">
      <c r="A112" s="7">
        <v>109</v>
      </c>
      <c r="B112" s="8">
        <v>42760</v>
      </c>
      <c r="C112" s="9" t="s">
        <v>76</v>
      </c>
      <c r="D112" s="10" t="s">
        <v>24</v>
      </c>
      <c r="E112" s="15">
        <v>-12597.221000359999</v>
      </c>
      <c r="F112" s="16">
        <v>-5.3402000000000003</v>
      </c>
      <c r="G112" s="13">
        <v>869.865876069705</v>
      </c>
      <c r="H112" s="8">
        <v>42760</v>
      </c>
      <c r="I112" s="14">
        <v>2358.9418000000001</v>
      </c>
      <c r="J112" s="8">
        <v>42760</v>
      </c>
    </row>
    <row r="113" spans="1:10" x14ac:dyDescent="0.25">
      <c r="A113" s="7">
        <v>110</v>
      </c>
      <c r="B113" s="8">
        <v>42791</v>
      </c>
      <c r="C113" s="9" t="s">
        <v>65</v>
      </c>
      <c r="D113" s="10" t="s">
        <v>21</v>
      </c>
      <c r="E113" s="11">
        <v>74999.927272000001</v>
      </c>
      <c r="F113" s="12">
        <v>34.81</v>
      </c>
      <c r="G113" s="13">
        <v>904.67587606970505</v>
      </c>
      <c r="H113" s="8">
        <v>42727</v>
      </c>
      <c r="I113" s="14">
        <v>2154.5511999999999</v>
      </c>
      <c r="J113" s="8">
        <v>42791</v>
      </c>
    </row>
    <row r="114" spans="1:10" x14ac:dyDescent="0.25">
      <c r="A114" s="7">
        <v>111</v>
      </c>
      <c r="B114" s="8">
        <v>42791</v>
      </c>
      <c r="C114" s="9" t="s">
        <v>66</v>
      </c>
      <c r="D114" s="10" t="s">
        <v>21</v>
      </c>
      <c r="E114" s="11">
        <v>47500.097575680004</v>
      </c>
      <c r="F114" s="12">
        <v>22.046399999999998</v>
      </c>
      <c r="G114" s="13">
        <v>926.722276069705</v>
      </c>
      <c r="H114" s="8">
        <v>42727</v>
      </c>
      <c r="I114" s="14">
        <v>2154.5511999999999</v>
      </c>
      <c r="J114" s="8">
        <v>42791</v>
      </c>
    </row>
    <row r="115" spans="1:10" x14ac:dyDescent="0.25">
      <c r="A115" s="7">
        <v>112</v>
      </c>
      <c r="B115" s="8">
        <v>42791</v>
      </c>
      <c r="C115" s="9" t="s">
        <v>77</v>
      </c>
      <c r="D115" s="10" t="s">
        <v>24</v>
      </c>
      <c r="E115" s="15">
        <v>-16493.43904479</v>
      </c>
      <c r="F115" s="16">
        <v>-7.1022999999999996</v>
      </c>
      <c r="G115" s="13">
        <v>919.61997606970499</v>
      </c>
      <c r="H115" s="8">
        <v>42793</v>
      </c>
      <c r="I115" s="14">
        <v>2322.2673</v>
      </c>
      <c r="J115" s="8">
        <v>42791</v>
      </c>
    </row>
    <row r="116" spans="1:10" x14ac:dyDescent="0.25">
      <c r="A116" s="7">
        <v>113</v>
      </c>
      <c r="B116" s="8">
        <v>42791</v>
      </c>
      <c r="C116" s="9" t="s">
        <v>78</v>
      </c>
      <c r="D116" s="10" t="s">
        <v>24</v>
      </c>
      <c r="E116" s="15">
        <v>-13002.142385970001</v>
      </c>
      <c r="F116" s="16">
        <v>-5.5989000000000004</v>
      </c>
      <c r="G116" s="13">
        <v>914.02107606970503</v>
      </c>
      <c r="H116" s="8">
        <v>42793</v>
      </c>
      <c r="I116" s="14">
        <v>2322.2673</v>
      </c>
      <c r="J116" s="8">
        <v>42791</v>
      </c>
    </row>
    <row r="117" spans="1:10" x14ac:dyDescent="0.25">
      <c r="A117" s="7">
        <v>114</v>
      </c>
      <c r="B117" s="8">
        <v>42819</v>
      </c>
      <c r="C117" s="9" t="s">
        <v>65</v>
      </c>
      <c r="D117" s="10" t="s">
        <v>21</v>
      </c>
      <c r="E117" s="11">
        <v>75000.085912730006</v>
      </c>
      <c r="F117" s="12">
        <v>31.837299999999999</v>
      </c>
      <c r="G117" s="13">
        <v>945.85837606970495</v>
      </c>
      <c r="H117" s="8">
        <v>42753</v>
      </c>
      <c r="I117" s="14">
        <v>2355.7301000000002</v>
      </c>
      <c r="J117" s="8">
        <v>42819</v>
      </c>
    </row>
    <row r="118" spans="1:10" x14ac:dyDescent="0.25">
      <c r="A118" s="7">
        <v>115</v>
      </c>
      <c r="B118" s="8">
        <v>42819</v>
      </c>
      <c r="C118" s="9" t="s">
        <v>66</v>
      </c>
      <c r="D118" s="10" t="s">
        <v>21</v>
      </c>
      <c r="E118" s="11">
        <v>47499.999444360001</v>
      </c>
      <c r="F118" s="12">
        <v>20.163599999999999</v>
      </c>
      <c r="G118" s="13">
        <v>966.02197606970503</v>
      </c>
      <c r="H118" s="8">
        <v>42753</v>
      </c>
      <c r="I118" s="14">
        <v>2355.7301000000002</v>
      </c>
      <c r="J118" s="8">
        <v>42819</v>
      </c>
    </row>
    <row r="119" spans="1:10" x14ac:dyDescent="0.25">
      <c r="A119" s="7">
        <v>116</v>
      </c>
      <c r="B119" s="8">
        <v>42819</v>
      </c>
      <c r="C119" s="9" t="s">
        <v>79</v>
      </c>
      <c r="D119" s="10" t="s">
        <v>24</v>
      </c>
      <c r="E119" s="15">
        <v>-16777.00306236</v>
      </c>
      <c r="F119" s="16">
        <v>-7.3715999999999999</v>
      </c>
      <c r="G119" s="13">
        <v>958.65037606970498</v>
      </c>
      <c r="H119" s="8">
        <v>42821</v>
      </c>
      <c r="I119" s="14">
        <v>2275.8971000000001</v>
      </c>
      <c r="J119" s="8">
        <v>42819</v>
      </c>
    </row>
    <row r="120" spans="1:10" x14ac:dyDescent="0.25">
      <c r="A120" s="7">
        <v>117</v>
      </c>
      <c r="B120" s="8">
        <v>42819</v>
      </c>
      <c r="C120" s="9" t="s">
        <v>80</v>
      </c>
      <c r="D120" s="10" t="s">
        <v>24</v>
      </c>
      <c r="E120" s="15">
        <v>-13225.69322752</v>
      </c>
      <c r="F120" s="16">
        <v>-5.8112000000000004</v>
      </c>
      <c r="G120" s="13">
        <v>952.83917606970499</v>
      </c>
      <c r="H120" s="8">
        <v>42821</v>
      </c>
      <c r="I120" s="14">
        <v>2275.8971000000001</v>
      </c>
      <c r="J120" s="8">
        <v>42819</v>
      </c>
    </row>
    <row r="121" spans="1:10" x14ac:dyDescent="0.25">
      <c r="A121" s="7">
        <v>118</v>
      </c>
      <c r="B121" s="8">
        <v>42850</v>
      </c>
      <c r="C121" s="9" t="s">
        <v>65</v>
      </c>
      <c r="D121" s="10" t="s">
        <v>21</v>
      </c>
      <c r="E121" s="11">
        <v>74999.941699229996</v>
      </c>
      <c r="F121" s="12">
        <v>36.660899999999998</v>
      </c>
      <c r="G121" s="13">
        <v>989.50007606970496</v>
      </c>
      <c r="H121" s="8">
        <v>42870</v>
      </c>
      <c r="I121" s="14">
        <v>2045.7746999999999</v>
      </c>
      <c r="J121" s="8">
        <v>42850</v>
      </c>
    </row>
    <row r="122" spans="1:10" x14ac:dyDescent="0.25">
      <c r="A122" s="7">
        <v>119</v>
      </c>
      <c r="B122" s="8">
        <v>42850</v>
      </c>
      <c r="C122" s="9" t="s">
        <v>66</v>
      </c>
      <c r="D122" s="10" t="s">
        <v>21</v>
      </c>
      <c r="E122" s="11">
        <v>47500.024449420001</v>
      </c>
      <c r="F122" s="12">
        <v>23.218599999999999</v>
      </c>
      <c r="G122" s="13">
        <v>1012.71867606971</v>
      </c>
      <c r="H122" s="8">
        <v>42870</v>
      </c>
      <c r="I122" s="14">
        <v>2045.7746999999999</v>
      </c>
      <c r="J122" s="8">
        <v>42850</v>
      </c>
    </row>
    <row r="123" spans="1:10" x14ac:dyDescent="0.25">
      <c r="A123" s="7">
        <v>120</v>
      </c>
      <c r="B123" s="8">
        <v>42850</v>
      </c>
      <c r="C123" s="9" t="s">
        <v>81</v>
      </c>
      <c r="D123" s="10" t="s">
        <v>24</v>
      </c>
      <c r="E123" s="15">
        <v>-17059.18310124</v>
      </c>
      <c r="F123" s="16">
        <v>-7.3667999999999996</v>
      </c>
      <c r="G123" s="13">
        <v>1005.35187606971</v>
      </c>
      <c r="H123" s="8">
        <v>42850</v>
      </c>
      <c r="I123" s="14">
        <v>2315.6842999999999</v>
      </c>
      <c r="J123" s="8">
        <v>42850</v>
      </c>
    </row>
    <row r="124" spans="1:10" x14ac:dyDescent="0.25">
      <c r="A124" s="7">
        <v>121</v>
      </c>
      <c r="B124" s="8">
        <v>42850</v>
      </c>
      <c r="C124" s="9" t="s">
        <v>82</v>
      </c>
      <c r="D124" s="10" t="s">
        <v>24</v>
      </c>
      <c r="E124" s="15">
        <v>-13448.105003819999</v>
      </c>
      <c r="F124" s="16">
        <v>-5.8074000000000003</v>
      </c>
      <c r="G124" s="13">
        <v>999.54447606970496</v>
      </c>
      <c r="H124" s="8">
        <v>42850</v>
      </c>
      <c r="I124" s="14">
        <v>2315.6842999999999</v>
      </c>
      <c r="J124" s="8">
        <v>42850</v>
      </c>
    </row>
    <row r="125" spans="1:10" x14ac:dyDescent="0.25">
      <c r="A125" s="7">
        <v>122</v>
      </c>
      <c r="B125" s="8">
        <v>42880</v>
      </c>
      <c r="C125" s="9" t="s">
        <v>65</v>
      </c>
      <c r="D125" s="10" t="s">
        <v>21</v>
      </c>
      <c r="E125" s="11">
        <v>74999.941699229996</v>
      </c>
      <c r="F125" s="12">
        <v>36.660899999999998</v>
      </c>
      <c r="G125" s="13">
        <v>1036.2053760697099</v>
      </c>
      <c r="H125" s="8">
        <v>42870</v>
      </c>
      <c r="I125" s="14">
        <v>2045.7746999999999</v>
      </c>
      <c r="J125" s="8">
        <v>42880</v>
      </c>
    </row>
    <row r="126" spans="1:10" x14ac:dyDescent="0.25">
      <c r="A126" s="7">
        <v>123</v>
      </c>
      <c r="B126" s="8">
        <v>42880</v>
      </c>
      <c r="C126" s="9" t="s">
        <v>66</v>
      </c>
      <c r="D126" s="10" t="s">
        <v>21</v>
      </c>
      <c r="E126" s="11">
        <v>47500.024449420001</v>
      </c>
      <c r="F126" s="12">
        <v>23.218599999999999</v>
      </c>
      <c r="G126" s="13">
        <v>1059.4239760697101</v>
      </c>
      <c r="H126" s="8">
        <v>42870</v>
      </c>
      <c r="I126" s="14">
        <v>2045.7746999999999</v>
      </c>
      <c r="J126" s="8">
        <v>42880</v>
      </c>
    </row>
    <row r="127" spans="1:10" x14ac:dyDescent="0.25">
      <c r="A127" s="7">
        <v>124</v>
      </c>
      <c r="B127" s="8">
        <v>42880</v>
      </c>
      <c r="C127" s="9" t="s">
        <v>83</v>
      </c>
      <c r="D127" s="10" t="s">
        <v>24</v>
      </c>
      <c r="E127" s="15">
        <v>-16245.5753559</v>
      </c>
      <c r="F127" s="16">
        <v>-7.9005000000000001</v>
      </c>
      <c r="G127" s="13">
        <v>1051.5234760697099</v>
      </c>
      <c r="H127" s="8">
        <v>42881</v>
      </c>
      <c r="I127" s="14">
        <v>2056.2718</v>
      </c>
      <c r="J127" s="8">
        <v>42880</v>
      </c>
    </row>
    <row r="128" spans="1:10" x14ac:dyDescent="0.25">
      <c r="A128" s="7">
        <v>125</v>
      </c>
      <c r="B128" s="8">
        <v>42880</v>
      </c>
      <c r="C128" s="9" t="s">
        <v>84</v>
      </c>
      <c r="D128" s="10" t="s">
        <v>24</v>
      </c>
      <c r="E128" s="15">
        <v>-12806.66639758</v>
      </c>
      <c r="F128" s="16">
        <v>-6.2281000000000004</v>
      </c>
      <c r="G128" s="13">
        <v>1045.2953760697101</v>
      </c>
      <c r="H128" s="8">
        <v>42881</v>
      </c>
      <c r="I128" s="14">
        <v>2056.2718</v>
      </c>
      <c r="J128" s="8">
        <v>42880</v>
      </c>
    </row>
    <row r="129" spans="1:10" x14ac:dyDescent="0.25">
      <c r="A129" s="7">
        <v>126</v>
      </c>
      <c r="B129" s="8">
        <v>42911</v>
      </c>
      <c r="C129" s="9" t="s">
        <v>65</v>
      </c>
      <c r="D129" s="10" t="s">
        <v>21</v>
      </c>
      <c r="E129" s="11">
        <v>74999.941699229996</v>
      </c>
      <c r="F129" s="12">
        <v>36.660899999999998</v>
      </c>
      <c r="G129" s="13">
        <v>1081.9562760697099</v>
      </c>
      <c r="H129" s="8">
        <v>42870</v>
      </c>
      <c r="I129" s="14">
        <v>2045.7746999999999</v>
      </c>
      <c r="J129" s="8">
        <v>42911</v>
      </c>
    </row>
    <row r="130" spans="1:10" x14ac:dyDescent="0.25">
      <c r="A130" s="7">
        <v>127</v>
      </c>
      <c r="B130" s="8">
        <v>42911</v>
      </c>
      <c r="C130" s="9" t="s">
        <v>66</v>
      </c>
      <c r="D130" s="10" t="s">
        <v>21</v>
      </c>
      <c r="E130" s="11">
        <v>47500.024449420001</v>
      </c>
      <c r="F130" s="12">
        <v>23.218599999999999</v>
      </c>
      <c r="G130" s="13">
        <v>1105.1748760697101</v>
      </c>
      <c r="H130" s="8">
        <v>42870</v>
      </c>
      <c r="I130" s="14">
        <v>2045.7746999999999</v>
      </c>
      <c r="J130" s="8">
        <v>42911</v>
      </c>
    </row>
    <row r="131" spans="1:10" x14ac:dyDescent="0.25">
      <c r="A131" s="7">
        <v>128</v>
      </c>
      <c r="B131" s="8">
        <v>42911</v>
      </c>
      <c r="C131" s="9" t="s">
        <v>85</v>
      </c>
      <c r="D131" s="10" t="s">
        <v>24</v>
      </c>
      <c r="E131" s="15">
        <v>-16481.432171600001</v>
      </c>
      <c r="F131" s="16">
        <v>-7.2439999999999998</v>
      </c>
      <c r="G131" s="13">
        <v>1097.9308760697099</v>
      </c>
      <c r="H131" s="8">
        <v>42919</v>
      </c>
      <c r="I131" s="14">
        <v>2275.1839</v>
      </c>
      <c r="J131" s="8">
        <v>42911</v>
      </c>
    </row>
    <row r="132" spans="1:10" x14ac:dyDescent="0.25">
      <c r="A132" s="7">
        <v>129</v>
      </c>
      <c r="B132" s="8">
        <v>42911</v>
      </c>
      <c r="C132" s="9" t="s">
        <v>86</v>
      </c>
      <c r="D132" s="10" t="s">
        <v>24</v>
      </c>
      <c r="E132" s="15">
        <v>-12992.66517934</v>
      </c>
      <c r="F132" s="16">
        <v>-5.7106000000000003</v>
      </c>
      <c r="G132" s="13">
        <v>1092.2202760697101</v>
      </c>
      <c r="H132" s="8">
        <v>42919</v>
      </c>
      <c r="I132" s="14">
        <v>2275.1839</v>
      </c>
      <c r="J132" s="8">
        <v>42911</v>
      </c>
    </row>
    <row r="133" spans="1:10" x14ac:dyDescent="0.25">
      <c r="A133" s="7">
        <v>130</v>
      </c>
      <c r="B133" s="8">
        <v>42941</v>
      </c>
      <c r="C133" s="9" t="s">
        <v>65</v>
      </c>
      <c r="D133" s="10" t="s">
        <v>21</v>
      </c>
      <c r="E133" s="11">
        <v>74999.974717229998</v>
      </c>
      <c r="F133" s="12">
        <v>35.993899999999996</v>
      </c>
      <c r="G133" s="13">
        <v>1128.21417606971</v>
      </c>
      <c r="H133" s="8">
        <v>42933</v>
      </c>
      <c r="I133" s="14">
        <v>2083.6857</v>
      </c>
      <c r="J133" s="8">
        <v>42941</v>
      </c>
    </row>
    <row r="134" spans="1:10" x14ac:dyDescent="0.25">
      <c r="A134" s="7">
        <v>131</v>
      </c>
      <c r="B134" s="8">
        <v>42941</v>
      </c>
      <c r="C134" s="9" t="s">
        <v>66</v>
      </c>
      <c r="D134" s="10" t="s">
        <v>21</v>
      </c>
      <c r="E134" s="11">
        <v>47499.907585770001</v>
      </c>
      <c r="F134" s="12">
        <v>22.796099999999999</v>
      </c>
      <c r="G134" s="13">
        <v>1151.01027606971</v>
      </c>
      <c r="H134" s="8">
        <v>42933</v>
      </c>
      <c r="I134" s="14">
        <v>2083.6857</v>
      </c>
      <c r="J134" s="8">
        <v>42941</v>
      </c>
    </row>
    <row r="135" spans="1:10" x14ac:dyDescent="0.25">
      <c r="A135" s="7">
        <v>132</v>
      </c>
      <c r="B135" s="8">
        <v>42941</v>
      </c>
      <c r="C135" s="9" t="s">
        <v>87</v>
      </c>
      <c r="D135" s="10" t="s">
        <v>24</v>
      </c>
      <c r="E135" s="15">
        <v>-16568.00045752</v>
      </c>
      <c r="F135" s="16">
        <v>-7.5915999999999997</v>
      </c>
      <c r="G135" s="13">
        <v>1143.41867606971</v>
      </c>
      <c r="H135" s="8">
        <v>42941</v>
      </c>
      <c r="I135" s="14">
        <v>2182.4122000000002</v>
      </c>
      <c r="J135" s="8">
        <v>42941</v>
      </c>
    </row>
    <row r="136" spans="1:10" x14ac:dyDescent="0.25">
      <c r="A136" s="7">
        <v>133</v>
      </c>
      <c r="B136" s="8">
        <v>42941</v>
      </c>
      <c r="C136" s="9" t="s">
        <v>88</v>
      </c>
      <c r="D136" s="10" t="s">
        <v>24</v>
      </c>
      <c r="E136" s="15">
        <v>-13060.86405212</v>
      </c>
      <c r="F136" s="16">
        <v>-5.9846000000000004</v>
      </c>
      <c r="G136" s="13">
        <v>1137.43407606971</v>
      </c>
      <c r="H136" s="8">
        <v>42941</v>
      </c>
      <c r="I136" s="14">
        <v>2182.4122000000002</v>
      </c>
      <c r="J136" s="8">
        <v>42941</v>
      </c>
    </row>
    <row r="137" spans="1:10" x14ac:dyDescent="0.25">
      <c r="A137" s="7">
        <v>134</v>
      </c>
      <c r="B137" s="8">
        <v>42972</v>
      </c>
      <c r="C137" s="9" t="s">
        <v>65</v>
      </c>
      <c r="D137" s="10" t="s">
        <v>21</v>
      </c>
      <c r="E137" s="11">
        <v>74999.951441359997</v>
      </c>
      <c r="F137" s="12">
        <v>35.800600000000003</v>
      </c>
      <c r="G137" s="13">
        <v>1173.2346760697101</v>
      </c>
      <c r="H137" s="8">
        <v>42905</v>
      </c>
      <c r="I137" s="14">
        <v>2094.9355999999998</v>
      </c>
      <c r="J137" s="8">
        <v>42972</v>
      </c>
    </row>
    <row r="138" spans="1:10" x14ac:dyDescent="0.25">
      <c r="A138" s="7">
        <v>135</v>
      </c>
      <c r="B138" s="8">
        <v>42972</v>
      </c>
      <c r="C138" s="9" t="s">
        <v>66</v>
      </c>
      <c r="D138" s="10" t="s">
        <v>21</v>
      </c>
      <c r="E138" s="11">
        <v>47499.941313720003</v>
      </c>
      <c r="F138" s="12">
        <v>22.6737</v>
      </c>
      <c r="G138" s="13">
        <v>1195.9083760697099</v>
      </c>
      <c r="H138" s="8">
        <v>42905</v>
      </c>
      <c r="I138" s="14">
        <v>2094.9355999999998</v>
      </c>
      <c r="J138" s="8">
        <v>42972</v>
      </c>
    </row>
    <row r="139" spans="1:10" x14ac:dyDescent="0.25">
      <c r="A139" s="7">
        <v>136</v>
      </c>
      <c r="B139" s="8">
        <v>42972</v>
      </c>
      <c r="C139" s="9" t="s">
        <v>89</v>
      </c>
      <c r="D139" s="10" t="s">
        <v>24</v>
      </c>
      <c r="E139" s="15">
        <v>-18185.355992860001</v>
      </c>
      <c r="F139" s="16">
        <v>-8.2033000000000005</v>
      </c>
      <c r="G139" s="13">
        <v>1187.70507606971</v>
      </c>
      <c r="H139" s="8">
        <v>42972</v>
      </c>
      <c r="I139" s="14">
        <v>2216.8341999999998</v>
      </c>
      <c r="J139" s="8">
        <v>42972</v>
      </c>
    </row>
    <row r="140" spans="1:10" x14ac:dyDescent="0.25">
      <c r="A140" s="7">
        <v>137</v>
      </c>
      <c r="B140" s="8">
        <v>42972</v>
      </c>
      <c r="C140" s="9" t="s">
        <v>90</v>
      </c>
      <c r="D140" s="10" t="s">
        <v>24</v>
      </c>
      <c r="E140" s="15">
        <v>-14335.82340456</v>
      </c>
      <c r="F140" s="16">
        <v>-6.4668000000000001</v>
      </c>
      <c r="G140" s="13">
        <v>1181.2382760697101</v>
      </c>
      <c r="H140" s="8">
        <v>42972</v>
      </c>
      <c r="I140" s="14">
        <v>2216.8341999999998</v>
      </c>
      <c r="J140" s="8">
        <v>42972</v>
      </c>
    </row>
    <row r="141" spans="1:10" x14ac:dyDescent="0.25">
      <c r="A141" s="7">
        <v>138</v>
      </c>
      <c r="B141" s="8">
        <v>43003</v>
      </c>
      <c r="C141" s="9" t="s">
        <v>91</v>
      </c>
      <c r="D141" s="10" t="s">
        <v>21</v>
      </c>
      <c r="E141" s="11">
        <v>85000.090793669995</v>
      </c>
      <c r="F141" s="12">
        <v>41.198700000000002</v>
      </c>
      <c r="G141" s="13">
        <v>1222.43697606971</v>
      </c>
      <c r="H141" s="8">
        <v>42935</v>
      </c>
      <c r="I141" s="14">
        <v>2063.1741000000002</v>
      </c>
      <c r="J141" s="8">
        <v>43003</v>
      </c>
    </row>
    <row r="142" spans="1:10" x14ac:dyDescent="0.25">
      <c r="A142" s="7">
        <v>139</v>
      </c>
      <c r="B142" s="8">
        <v>43003</v>
      </c>
      <c r="C142" s="9" t="s">
        <v>92</v>
      </c>
      <c r="D142" s="10" t="s">
        <v>21</v>
      </c>
      <c r="E142" s="11">
        <v>47500.044669479998</v>
      </c>
      <c r="F142" s="12">
        <v>23.0228</v>
      </c>
      <c r="G142" s="13">
        <v>1245.45977606971</v>
      </c>
      <c r="H142" s="8">
        <v>42935</v>
      </c>
      <c r="I142" s="14">
        <v>2063.1741000000002</v>
      </c>
      <c r="J142" s="8">
        <v>43003</v>
      </c>
    </row>
    <row r="143" spans="1:10" x14ac:dyDescent="0.25">
      <c r="A143" s="7">
        <v>140</v>
      </c>
      <c r="B143" s="8">
        <v>43003</v>
      </c>
      <c r="C143" s="9" t="s">
        <v>93</v>
      </c>
      <c r="D143" s="10" t="s">
        <v>24</v>
      </c>
      <c r="E143" s="15">
        <v>-18464.373944999999</v>
      </c>
      <c r="F143" s="16">
        <v>-8.5500000000000007</v>
      </c>
      <c r="G143" s="13">
        <v>1236.90977606971</v>
      </c>
      <c r="H143" s="8">
        <v>43005</v>
      </c>
      <c r="I143" s="14">
        <v>2159.5758999999998</v>
      </c>
      <c r="J143" s="8">
        <v>43003</v>
      </c>
    </row>
    <row r="144" spans="1:10" x14ac:dyDescent="0.25">
      <c r="A144" s="7">
        <v>141</v>
      </c>
      <c r="B144" s="8">
        <v>43003</v>
      </c>
      <c r="C144" s="9" t="s">
        <v>94</v>
      </c>
      <c r="D144" s="10" t="s">
        <v>24</v>
      </c>
      <c r="E144" s="15">
        <v>-13940.494349680001</v>
      </c>
      <c r="F144" s="16">
        <v>-6.4551999999999996</v>
      </c>
      <c r="G144" s="13">
        <v>1230.4545760697099</v>
      </c>
      <c r="H144" s="8">
        <v>43005</v>
      </c>
      <c r="I144" s="14">
        <v>2159.5758999999998</v>
      </c>
      <c r="J144" s="8">
        <v>43003</v>
      </c>
    </row>
    <row r="145" spans="1:10" x14ac:dyDescent="0.25">
      <c r="A145" s="7">
        <v>142</v>
      </c>
      <c r="B145" s="8">
        <v>43033</v>
      </c>
      <c r="C145" s="9" t="s">
        <v>91</v>
      </c>
      <c r="D145" s="10" t="s">
        <v>21</v>
      </c>
      <c r="E145" s="11">
        <v>85000.017580800006</v>
      </c>
      <c r="F145" s="12">
        <v>38.932000000000002</v>
      </c>
      <c r="G145" s="13">
        <v>1269.3865760697099</v>
      </c>
      <c r="H145" s="8">
        <v>42968</v>
      </c>
      <c r="I145" s="14">
        <v>2183.2944000000002</v>
      </c>
      <c r="J145" s="8">
        <v>43033</v>
      </c>
    </row>
    <row r="146" spans="1:10" x14ac:dyDescent="0.25">
      <c r="A146" s="7">
        <v>143</v>
      </c>
      <c r="B146" s="8">
        <v>43033</v>
      </c>
      <c r="C146" s="9" t="s">
        <v>92</v>
      </c>
      <c r="D146" s="10" t="s">
        <v>21</v>
      </c>
      <c r="E146" s="11">
        <v>47499.971295839998</v>
      </c>
      <c r="F146" s="12">
        <v>21.7561</v>
      </c>
      <c r="G146" s="13">
        <v>1291.14267606971</v>
      </c>
      <c r="H146" s="8">
        <v>42968</v>
      </c>
      <c r="I146" s="14">
        <v>2183.2944000000002</v>
      </c>
      <c r="J146" s="8">
        <v>43033</v>
      </c>
    </row>
    <row r="147" spans="1:10" x14ac:dyDescent="0.25">
      <c r="A147" s="7">
        <v>144</v>
      </c>
      <c r="B147" s="8">
        <v>43033</v>
      </c>
      <c r="C147" s="9" t="s">
        <v>95</v>
      </c>
      <c r="D147" s="10" t="s">
        <v>24</v>
      </c>
      <c r="E147" s="15">
        <v>-18280.40124771</v>
      </c>
      <c r="F147" s="16">
        <v>-8.4257000000000009</v>
      </c>
      <c r="G147" s="13">
        <v>1282.71697606971</v>
      </c>
      <c r="H147" s="8">
        <v>43033</v>
      </c>
      <c r="I147" s="14">
        <v>2169.6003000000001</v>
      </c>
      <c r="J147" s="8">
        <v>43033</v>
      </c>
    </row>
    <row r="148" spans="1:10" x14ac:dyDescent="0.25">
      <c r="A148" s="7">
        <v>145</v>
      </c>
      <c r="B148" s="8">
        <v>43033</v>
      </c>
      <c r="C148" s="9" t="s">
        <v>96</v>
      </c>
      <c r="D148" s="10" t="s">
        <v>24</v>
      </c>
      <c r="E148" s="15">
        <v>-13801.47838839</v>
      </c>
      <c r="F148" s="16">
        <v>-6.3613</v>
      </c>
      <c r="G148" s="13">
        <v>1276.3556760697099</v>
      </c>
      <c r="H148" s="8">
        <v>43033</v>
      </c>
      <c r="I148" s="14">
        <v>2169.6003000000001</v>
      </c>
      <c r="J148" s="8">
        <v>43033</v>
      </c>
    </row>
    <row r="149" spans="1:10" x14ac:dyDescent="0.25">
      <c r="A149" s="7">
        <v>146</v>
      </c>
      <c r="B149" s="8">
        <v>43064</v>
      </c>
      <c r="C149" s="9" t="s">
        <v>91</v>
      </c>
      <c r="D149" s="10" t="s">
        <v>21</v>
      </c>
      <c r="E149" s="11">
        <v>85000.086141599997</v>
      </c>
      <c r="F149" s="12">
        <v>38.723999999999997</v>
      </c>
      <c r="G149" s="13">
        <v>1315.0796760697101</v>
      </c>
      <c r="H149" s="8">
        <v>42997</v>
      </c>
      <c r="I149" s="14">
        <v>2195.0234</v>
      </c>
      <c r="J149" s="8">
        <v>43064</v>
      </c>
    </row>
    <row r="150" spans="1:10" x14ac:dyDescent="0.25">
      <c r="A150" s="7">
        <v>147</v>
      </c>
      <c r="B150" s="8">
        <v>43064</v>
      </c>
      <c r="C150" s="9" t="s">
        <v>92</v>
      </c>
      <c r="D150" s="10" t="s">
        <v>21</v>
      </c>
      <c r="E150" s="11">
        <v>47500.086873660002</v>
      </c>
      <c r="F150" s="12">
        <v>21.639900000000001</v>
      </c>
      <c r="G150" s="13">
        <v>1336.71957606971</v>
      </c>
      <c r="H150" s="8">
        <v>42997</v>
      </c>
      <c r="I150" s="14">
        <v>2195.0234</v>
      </c>
      <c r="J150" s="8">
        <v>43064</v>
      </c>
    </row>
    <row r="151" spans="1:10" x14ac:dyDescent="0.25">
      <c r="A151" s="7">
        <v>148</v>
      </c>
      <c r="B151" s="8">
        <v>43064</v>
      </c>
      <c r="C151" s="9" t="s">
        <v>97</v>
      </c>
      <c r="D151" s="10" t="s">
        <v>24</v>
      </c>
      <c r="E151" s="15">
        <v>-18273.712644300002</v>
      </c>
      <c r="F151" s="16">
        <v>-8.4641999999999999</v>
      </c>
      <c r="G151" s="13">
        <v>1328.2553760697101</v>
      </c>
      <c r="H151" s="8">
        <v>43066</v>
      </c>
      <c r="I151" s="14">
        <v>2158.9414999999999</v>
      </c>
      <c r="J151" s="8">
        <v>43064</v>
      </c>
    </row>
    <row r="152" spans="1:10" x14ac:dyDescent="0.25">
      <c r="A152" s="7">
        <v>149</v>
      </c>
      <c r="B152" s="8">
        <v>43064</v>
      </c>
      <c r="C152" s="9" t="s">
        <v>98</v>
      </c>
      <c r="D152" s="10" t="s">
        <v>24</v>
      </c>
      <c r="E152" s="15">
        <v>-13796.4997616</v>
      </c>
      <c r="F152" s="16">
        <v>-6.3903999999999996</v>
      </c>
      <c r="G152" s="13">
        <v>1321.8649760697101</v>
      </c>
      <c r="H152" s="8">
        <v>43066</v>
      </c>
      <c r="I152" s="14">
        <v>2158.9414999999999</v>
      </c>
      <c r="J152" s="8">
        <v>43064</v>
      </c>
    </row>
    <row r="153" spans="1:10" x14ac:dyDescent="0.25">
      <c r="A153" s="7">
        <v>150</v>
      </c>
      <c r="B153" s="8">
        <v>43094</v>
      </c>
      <c r="C153" s="9" t="s">
        <v>91</v>
      </c>
      <c r="D153" s="10" t="s">
        <v>21</v>
      </c>
      <c r="E153" s="11">
        <v>85000.054161199994</v>
      </c>
      <c r="F153" s="12">
        <v>39.931699999999999</v>
      </c>
      <c r="G153" s="13">
        <v>1361.79667606971</v>
      </c>
      <c r="H153" s="8">
        <v>43080</v>
      </c>
      <c r="I153" s="14">
        <v>2128.636</v>
      </c>
      <c r="J153" s="8">
        <v>43094</v>
      </c>
    </row>
    <row r="154" spans="1:10" x14ac:dyDescent="0.25">
      <c r="A154" s="7">
        <v>151</v>
      </c>
      <c r="B154" s="8">
        <v>43094</v>
      </c>
      <c r="C154" s="9" t="s">
        <v>92</v>
      </c>
      <c r="D154" s="10" t="s">
        <v>21</v>
      </c>
      <c r="E154" s="11">
        <v>47500.086612799998</v>
      </c>
      <c r="F154" s="12">
        <v>22.314800000000002</v>
      </c>
      <c r="G154" s="13">
        <v>1384.1114760697101</v>
      </c>
      <c r="H154" s="8">
        <v>43080</v>
      </c>
      <c r="I154" s="14">
        <v>2128.636</v>
      </c>
      <c r="J154" s="8">
        <v>43094</v>
      </c>
    </row>
    <row r="155" spans="1:10" x14ac:dyDescent="0.25">
      <c r="A155" s="7">
        <v>152</v>
      </c>
      <c r="B155" s="8">
        <v>43094</v>
      </c>
      <c r="C155" s="9" t="s">
        <v>99</v>
      </c>
      <c r="D155" s="10" t="s">
        <v>24</v>
      </c>
      <c r="E155" s="15">
        <v>-18246.789841000002</v>
      </c>
      <c r="F155" s="16">
        <v>-8.3140000000000001</v>
      </c>
      <c r="G155" s="13">
        <v>1375.79747606971</v>
      </c>
      <c r="H155" s="8">
        <v>43096</v>
      </c>
      <c r="I155" s="14">
        <v>2194.7064999999998</v>
      </c>
      <c r="J155" s="8">
        <v>43094</v>
      </c>
    </row>
    <row r="156" spans="1:10" x14ac:dyDescent="0.25">
      <c r="A156" s="7">
        <v>153</v>
      </c>
      <c r="B156" s="8">
        <v>43094</v>
      </c>
      <c r="C156" s="9" t="s">
        <v>100</v>
      </c>
      <c r="D156" s="10" t="s">
        <v>24</v>
      </c>
      <c r="E156" s="15">
        <v>-13776.172700499999</v>
      </c>
      <c r="F156" s="16">
        <v>-6.2770000000000001</v>
      </c>
      <c r="G156" s="13">
        <v>1369.52047606971</v>
      </c>
      <c r="H156" s="8">
        <v>43096</v>
      </c>
      <c r="I156" s="14">
        <v>2194.7064999999998</v>
      </c>
      <c r="J156" s="8">
        <v>43094</v>
      </c>
    </row>
    <row r="157" spans="1:10" x14ac:dyDescent="0.25">
      <c r="A157" s="7">
        <v>154</v>
      </c>
      <c r="B157" s="8">
        <v>43125</v>
      </c>
      <c r="C157" s="9" t="s">
        <v>91</v>
      </c>
      <c r="D157" s="10" t="s">
        <v>21</v>
      </c>
      <c r="E157" s="11">
        <v>85000.054161199994</v>
      </c>
      <c r="F157" s="12">
        <v>39.931699999999999</v>
      </c>
      <c r="G157" s="13">
        <v>1409.45217606971</v>
      </c>
      <c r="H157" s="8">
        <v>43080</v>
      </c>
      <c r="I157" s="14">
        <v>2128.636</v>
      </c>
      <c r="J157" s="8">
        <v>43125</v>
      </c>
    </row>
    <row r="158" spans="1:10" x14ac:dyDescent="0.25">
      <c r="A158" s="7">
        <v>155</v>
      </c>
      <c r="B158" s="8">
        <v>43125</v>
      </c>
      <c r="C158" s="9" t="s">
        <v>92</v>
      </c>
      <c r="D158" s="10" t="s">
        <v>21</v>
      </c>
      <c r="E158" s="11">
        <v>47500.086612799998</v>
      </c>
      <c r="F158" s="12">
        <v>22.314800000000002</v>
      </c>
      <c r="G158" s="13">
        <v>1431.7669760697099</v>
      </c>
      <c r="H158" s="8">
        <v>43080</v>
      </c>
      <c r="I158" s="14">
        <v>2128.636</v>
      </c>
      <c r="J158" s="8">
        <v>43125</v>
      </c>
    </row>
    <row r="159" spans="1:10" x14ac:dyDescent="0.25">
      <c r="A159" s="7">
        <v>156</v>
      </c>
      <c r="B159" s="8">
        <v>43125</v>
      </c>
      <c r="C159" s="9" t="s">
        <v>101</v>
      </c>
      <c r="D159" s="10" t="s">
        <v>24</v>
      </c>
      <c r="E159" s="15">
        <v>-18350.997405710001</v>
      </c>
      <c r="F159" s="16">
        <v>-8.0358999999999998</v>
      </c>
      <c r="G159" s="13">
        <v>1423.7310760697101</v>
      </c>
      <c r="H159" s="8">
        <v>43125</v>
      </c>
      <c r="I159" s="14">
        <v>2283.6269000000002</v>
      </c>
      <c r="J159" s="8">
        <v>43125</v>
      </c>
    </row>
    <row r="160" spans="1:10" x14ac:dyDescent="0.25">
      <c r="A160" s="7">
        <v>157</v>
      </c>
      <c r="B160" s="8">
        <v>43125</v>
      </c>
      <c r="C160" s="9" t="s">
        <v>102</v>
      </c>
      <c r="D160" s="10" t="s">
        <v>24</v>
      </c>
      <c r="E160" s="15">
        <v>-13854.764402299999</v>
      </c>
      <c r="F160" s="16">
        <v>-6.0670000000000002</v>
      </c>
      <c r="G160" s="13">
        <v>1417.6640760697101</v>
      </c>
      <c r="H160" s="8">
        <v>43125</v>
      </c>
      <c r="I160" s="14">
        <v>2283.6269000000002</v>
      </c>
      <c r="J160" s="8">
        <v>43125</v>
      </c>
    </row>
    <row r="161" spans="1:10" x14ac:dyDescent="0.25">
      <c r="A161" s="7">
        <v>158</v>
      </c>
      <c r="B161" s="8">
        <v>43156</v>
      </c>
      <c r="C161" s="9" t="s">
        <v>91</v>
      </c>
      <c r="D161" s="10" t="s">
        <v>21</v>
      </c>
      <c r="E161" s="11">
        <v>84999.997477340003</v>
      </c>
      <c r="F161" s="12">
        <v>39.0139</v>
      </c>
      <c r="G161" s="13">
        <v>1456.67797606971</v>
      </c>
      <c r="H161" s="8">
        <v>43088</v>
      </c>
      <c r="I161" s="14">
        <v>2178.7105999999999</v>
      </c>
      <c r="J161" s="8">
        <v>43156</v>
      </c>
    </row>
    <row r="162" spans="1:10" x14ac:dyDescent="0.25">
      <c r="A162" s="7">
        <v>159</v>
      </c>
      <c r="B162" s="8">
        <v>43156</v>
      </c>
      <c r="C162" s="9" t="s">
        <v>92</v>
      </c>
      <c r="D162" s="10" t="s">
        <v>21</v>
      </c>
      <c r="E162" s="11">
        <v>47500.030630139998</v>
      </c>
      <c r="F162" s="12">
        <v>21.8019</v>
      </c>
      <c r="G162" s="13">
        <v>1478.4798760697099</v>
      </c>
      <c r="H162" s="8">
        <v>43088</v>
      </c>
      <c r="I162" s="14">
        <v>2178.7105999999999</v>
      </c>
      <c r="J162" s="8">
        <v>43156</v>
      </c>
    </row>
    <row r="163" spans="1:10" x14ac:dyDescent="0.25">
      <c r="A163" s="7">
        <v>160</v>
      </c>
      <c r="B163" s="8">
        <v>43156</v>
      </c>
      <c r="C163" s="9" t="s">
        <v>103</v>
      </c>
      <c r="D163" s="10" t="s">
        <v>24</v>
      </c>
      <c r="E163" s="15">
        <v>-17993.995027410001</v>
      </c>
      <c r="F163" s="16">
        <v>-8.0886999999999993</v>
      </c>
      <c r="G163" s="13">
        <v>1470.3911760697099</v>
      </c>
      <c r="H163" s="8">
        <v>43157</v>
      </c>
      <c r="I163" s="14">
        <v>2224.5843</v>
      </c>
      <c r="J163" s="8">
        <v>43156</v>
      </c>
    </row>
    <row r="164" spans="1:10" x14ac:dyDescent="0.25">
      <c r="A164" s="7">
        <v>161</v>
      </c>
      <c r="B164" s="8">
        <v>43156</v>
      </c>
      <c r="C164" s="9" t="s">
        <v>104</v>
      </c>
      <c r="D164" s="10" t="s">
        <v>24</v>
      </c>
      <c r="E164" s="15">
        <v>-13585.31386167</v>
      </c>
      <c r="F164" s="16">
        <v>-6.1069000000000004</v>
      </c>
      <c r="G164" s="13">
        <v>1464.2842760697099</v>
      </c>
      <c r="H164" s="8">
        <v>43157</v>
      </c>
      <c r="I164" s="14">
        <v>2224.5843</v>
      </c>
      <c r="J164" s="8">
        <v>43156</v>
      </c>
    </row>
    <row r="165" spans="1:10" x14ac:dyDescent="0.25">
      <c r="A165" s="7">
        <v>162</v>
      </c>
      <c r="B165" s="8">
        <v>43184</v>
      </c>
      <c r="C165" s="9" t="s">
        <v>91</v>
      </c>
      <c r="D165" s="10" t="s">
        <v>21</v>
      </c>
      <c r="E165" s="11">
        <v>84999.955681439998</v>
      </c>
      <c r="F165" s="12">
        <v>37.864800000000002</v>
      </c>
      <c r="G165" s="13">
        <v>1502.14907606971</v>
      </c>
      <c r="H165" s="8">
        <v>43117</v>
      </c>
      <c r="I165" s="14">
        <v>2244.8278</v>
      </c>
      <c r="J165" s="8">
        <v>43184</v>
      </c>
    </row>
    <row r="166" spans="1:10" x14ac:dyDescent="0.25">
      <c r="A166" s="7">
        <v>163</v>
      </c>
      <c r="B166" s="8">
        <v>43184</v>
      </c>
      <c r="C166" s="9" t="s">
        <v>92</v>
      </c>
      <c r="D166" s="10" t="s">
        <v>21</v>
      </c>
      <c r="E166" s="11">
        <v>47500.107282440003</v>
      </c>
      <c r="F166" s="12">
        <v>21.159800000000001</v>
      </c>
      <c r="G166" s="13">
        <v>1523.3088760697101</v>
      </c>
      <c r="H166" s="8">
        <v>43117</v>
      </c>
      <c r="I166" s="14">
        <v>2244.8278</v>
      </c>
      <c r="J166" s="8">
        <v>43184</v>
      </c>
    </row>
    <row r="167" spans="1:10" x14ac:dyDescent="0.25">
      <c r="A167" s="7">
        <v>164</v>
      </c>
      <c r="B167" s="8">
        <v>43184</v>
      </c>
      <c r="C167" s="9" t="s">
        <v>105</v>
      </c>
      <c r="D167" s="10" t="s">
        <v>24</v>
      </c>
      <c r="E167" s="15">
        <v>-17577.014139359999</v>
      </c>
      <c r="F167" s="16">
        <v>-8.5488</v>
      </c>
      <c r="G167" s="13">
        <v>1514.7600760697101</v>
      </c>
      <c r="H167" s="8">
        <v>43185</v>
      </c>
      <c r="I167" s="14">
        <v>2056.0796999999998</v>
      </c>
      <c r="J167" s="8">
        <v>43184</v>
      </c>
    </row>
    <row r="168" spans="1:10" x14ac:dyDescent="0.25">
      <c r="A168" s="7">
        <v>165</v>
      </c>
      <c r="B168" s="8">
        <v>43184</v>
      </c>
      <c r="C168" s="9" t="s">
        <v>106</v>
      </c>
      <c r="D168" s="10" t="s">
        <v>24</v>
      </c>
      <c r="E168" s="15">
        <v>-13270.34959974</v>
      </c>
      <c r="F168" s="16">
        <v>-6.4542000000000002</v>
      </c>
      <c r="G168" s="13">
        <v>1508.3058760697099</v>
      </c>
      <c r="H168" s="8">
        <v>43185</v>
      </c>
      <c r="I168" s="14">
        <v>2056.0796999999998</v>
      </c>
      <c r="J168" s="8">
        <v>43184</v>
      </c>
    </row>
    <row r="169" spans="1:10" x14ac:dyDescent="0.25">
      <c r="A169" s="7">
        <v>166</v>
      </c>
      <c r="B169" s="8">
        <v>43215</v>
      </c>
      <c r="C169" s="9" t="s">
        <v>91</v>
      </c>
      <c r="D169" s="10" t="s">
        <v>21</v>
      </c>
      <c r="E169" s="11">
        <v>84999.929734449994</v>
      </c>
      <c r="F169" s="12">
        <v>37.674500000000002</v>
      </c>
      <c r="G169" s="13">
        <v>1545.98037606971</v>
      </c>
      <c r="H169" s="8">
        <v>43151</v>
      </c>
      <c r="I169" s="14">
        <v>2256.1660999999999</v>
      </c>
      <c r="J169" s="8">
        <v>43215</v>
      </c>
    </row>
    <row r="170" spans="1:10" x14ac:dyDescent="0.25">
      <c r="A170" s="7">
        <v>167</v>
      </c>
      <c r="B170" s="8">
        <v>43215</v>
      </c>
      <c r="C170" s="9" t="s">
        <v>92</v>
      </c>
      <c r="D170" s="10" t="s">
        <v>21</v>
      </c>
      <c r="E170" s="11">
        <v>47499.967369739999</v>
      </c>
      <c r="F170" s="12">
        <v>21.0534</v>
      </c>
      <c r="G170" s="13">
        <v>1567.03377606971</v>
      </c>
      <c r="H170" s="8">
        <v>43151</v>
      </c>
      <c r="I170" s="14">
        <v>2256.1660999999999</v>
      </c>
      <c r="J170" s="8">
        <v>43215</v>
      </c>
    </row>
    <row r="171" spans="1:10" x14ac:dyDescent="0.25">
      <c r="A171" s="7">
        <v>168</v>
      </c>
      <c r="B171" s="8">
        <v>43215</v>
      </c>
      <c r="C171" s="9" t="s">
        <v>107</v>
      </c>
      <c r="D171" s="10" t="s">
        <v>24</v>
      </c>
      <c r="E171" s="15">
        <v>-17719.62228593</v>
      </c>
      <c r="F171" s="16">
        <v>-8.6166999999999998</v>
      </c>
      <c r="G171" s="13">
        <v>1558.41707606971</v>
      </c>
      <c r="H171" s="8">
        <v>43215</v>
      </c>
      <c r="I171" s="14">
        <v>2056.4279000000001</v>
      </c>
      <c r="J171" s="8">
        <v>43215</v>
      </c>
    </row>
    <row r="172" spans="1:10" x14ac:dyDescent="0.25">
      <c r="A172" s="7">
        <v>169</v>
      </c>
      <c r="B172" s="8">
        <v>43215</v>
      </c>
      <c r="C172" s="9" t="s">
        <v>108</v>
      </c>
      <c r="D172" s="10" t="s">
        <v>24</v>
      </c>
      <c r="E172" s="15">
        <v>-13378.09170345</v>
      </c>
      <c r="F172" s="16">
        <v>-6.5054999999999996</v>
      </c>
      <c r="G172" s="13">
        <v>1551.91157606971</v>
      </c>
      <c r="H172" s="8">
        <v>43215</v>
      </c>
      <c r="I172" s="14">
        <v>2056.4279000000001</v>
      </c>
      <c r="J172" s="8">
        <v>43215</v>
      </c>
    </row>
    <row r="173" spans="1:10" x14ac:dyDescent="0.25">
      <c r="A173" s="7">
        <v>170</v>
      </c>
      <c r="B173" s="8">
        <v>43245</v>
      </c>
      <c r="C173" s="9" t="s">
        <v>91</v>
      </c>
      <c r="D173" s="10" t="s">
        <v>21</v>
      </c>
      <c r="E173" s="11">
        <v>85000.077634500005</v>
      </c>
      <c r="F173" s="12">
        <v>40.634999999999998</v>
      </c>
      <c r="G173" s="13">
        <v>1592.54657606971</v>
      </c>
      <c r="H173" s="8">
        <v>43180</v>
      </c>
      <c r="I173" s="14">
        <v>2091.7946999999999</v>
      </c>
      <c r="J173" s="8">
        <v>43245</v>
      </c>
    </row>
    <row r="174" spans="1:10" x14ac:dyDescent="0.25">
      <c r="A174" s="7">
        <v>171</v>
      </c>
      <c r="B174" s="8">
        <v>43245</v>
      </c>
      <c r="C174" s="9" t="s">
        <v>92</v>
      </c>
      <c r="D174" s="10" t="s">
        <v>21</v>
      </c>
      <c r="E174" s="11">
        <v>47500.055688660002</v>
      </c>
      <c r="F174" s="12">
        <v>22.707799999999999</v>
      </c>
      <c r="G174" s="13">
        <v>1615.2543760697099</v>
      </c>
      <c r="H174" s="8">
        <v>43180</v>
      </c>
      <c r="I174" s="14">
        <v>2091.7946999999999</v>
      </c>
      <c r="J174" s="8">
        <v>43245</v>
      </c>
    </row>
    <row r="175" spans="1:10" x14ac:dyDescent="0.25">
      <c r="A175" s="7">
        <v>172</v>
      </c>
      <c r="B175" s="8">
        <v>43245</v>
      </c>
      <c r="C175" s="9" t="s">
        <v>109</v>
      </c>
      <c r="D175" s="10" t="s">
        <v>24</v>
      </c>
      <c r="E175" s="15">
        <v>-17387.7985008</v>
      </c>
      <c r="F175" s="16">
        <v>-8.484</v>
      </c>
      <c r="G175" s="13">
        <v>1606.77037606971</v>
      </c>
      <c r="H175" s="8">
        <v>43245</v>
      </c>
      <c r="I175" s="14">
        <v>2049.4812000000002</v>
      </c>
      <c r="J175" s="8">
        <v>43245</v>
      </c>
    </row>
    <row r="176" spans="1:10" x14ac:dyDescent="0.25">
      <c r="A176" s="7">
        <v>173</v>
      </c>
      <c r="B176" s="8">
        <v>43245</v>
      </c>
      <c r="C176" s="9" t="s">
        <v>110</v>
      </c>
      <c r="D176" s="10" t="s">
        <v>24</v>
      </c>
      <c r="E176" s="15">
        <v>-13127.74687848</v>
      </c>
      <c r="F176" s="16">
        <v>-6.4054000000000002</v>
      </c>
      <c r="G176" s="13">
        <v>1600.3649760697101</v>
      </c>
      <c r="H176" s="8">
        <v>43245</v>
      </c>
      <c r="I176" s="14">
        <v>2049.4812000000002</v>
      </c>
      <c r="J176" s="8">
        <v>43245</v>
      </c>
    </row>
    <row r="177" spans="1:10" x14ac:dyDescent="0.25">
      <c r="A177" s="7">
        <v>174</v>
      </c>
      <c r="B177" s="8">
        <v>43276</v>
      </c>
      <c r="C177" s="9" t="s">
        <v>91</v>
      </c>
      <c r="D177" s="10" t="s">
        <v>21</v>
      </c>
      <c r="E177" s="11">
        <v>84999.97953302</v>
      </c>
      <c r="F177" s="12">
        <v>41.333799999999997</v>
      </c>
      <c r="G177" s="13">
        <v>1641.69877606971</v>
      </c>
      <c r="H177" s="8">
        <v>43215</v>
      </c>
      <c r="I177" s="14">
        <v>2056.4279000000001</v>
      </c>
      <c r="J177" s="8">
        <v>43276</v>
      </c>
    </row>
    <row r="178" spans="1:10" x14ac:dyDescent="0.25">
      <c r="A178" s="7">
        <v>175</v>
      </c>
      <c r="B178" s="8">
        <v>43276</v>
      </c>
      <c r="C178" s="9" t="s">
        <v>92</v>
      </c>
      <c r="D178" s="10" t="s">
        <v>21</v>
      </c>
      <c r="E178" s="11">
        <v>47499.988562569997</v>
      </c>
      <c r="F178" s="12">
        <v>23.098299999999998</v>
      </c>
      <c r="G178" s="13">
        <v>1664.7970760697101</v>
      </c>
      <c r="H178" s="8">
        <v>43215</v>
      </c>
      <c r="I178" s="14">
        <v>2056.4279000000001</v>
      </c>
      <c r="J178" s="8">
        <v>43276</v>
      </c>
    </row>
    <row r="179" spans="1:10" x14ac:dyDescent="0.25">
      <c r="A179" s="7">
        <v>176</v>
      </c>
      <c r="B179" s="8">
        <v>43276</v>
      </c>
      <c r="C179" s="9" t="s">
        <v>111</v>
      </c>
      <c r="D179" s="10" t="s">
        <v>24</v>
      </c>
      <c r="E179" s="15">
        <v>-17326.3008204</v>
      </c>
      <c r="F179" s="16">
        <v>-8.6790000000000003</v>
      </c>
      <c r="G179" s="13">
        <v>1656.11807606971</v>
      </c>
      <c r="H179" s="8">
        <v>43276</v>
      </c>
      <c r="I179" s="14">
        <v>1996.3476000000001</v>
      </c>
      <c r="J179" s="8">
        <v>43276</v>
      </c>
    </row>
    <row r="180" spans="1:10" x14ac:dyDescent="0.25">
      <c r="A180" s="7">
        <v>177</v>
      </c>
      <c r="B180" s="8">
        <v>43276</v>
      </c>
      <c r="C180" s="9" t="s">
        <v>112</v>
      </c>
      <c r="D180" s="10" t="s">
        <v>24</v>
      </c>
      <c r="E180" s="15">
        <v>-13081.26728376</v>
      </c>
      <c r="F180" s="16">
        <v>-6.5526</v>
      </c>
      <c r="G180" s="13">
        <v>1649.56547606971</v>
      </c>
      <c r="H180" s="8">
        <v>43276</v>
      </c>
      <c r="I180" s="14">
        <v>1996.3476000000001</v>
      </c>
      <c r="J180" s="8">
        <v>43276</v>
      </c>
    </row>
    <row r="181" spans="1:10" x14ac:dyDescent="0.25">
      <c r="A181" s="7">
        <v>178</v>
      </c>
      <c r="B181" s="8">
        <v>43306</v>
      </c>
      <c r="C181" s="9" t="s">
        <v>91</v>
      </c>
      <c r="D181" s="10" t="s">
        <v>21</v>
      </c>
      <c r="E181" s="11">
        <v>85000.060727520002</v>
      </c>
      <c r="F181" s="12">
        <v>42.950200000000002</v>
      </c>
      <c r="G181" s="13">
        <v>1692.51567606971</v>
      </c>
      <c r="H181" s="8">
        <v>43237</v>
      </c>
      <c r="I181" s="14">
        <v>1979.0376000000001</v>
      </c>
      <c r="J181" s="8">
        <v>43306</v>
      </c>
    </row>
    <row r="182" spans="1:10" x14ac:dyDescent="0.25">
      <c r="A182" s="7">
        <v>179</v>
      </c>
      <c r="B182" s="8">
        <v>43306</v>
      </c>
      <c r="C182" s="9" t="s">
        <v>92</v>
      </c>
      <c r="D182" s="10" t="s">
        <v>21</v>
      </c>
      <c r="E182" s="11">
        <v>47500.068860159998</v>
      </c>
      <c r="F182" s="12">
        <v>24.0016</v>
      </c>
      <c r="G182" s="13">
        <v>1716.5172760697101</v>
      </c>
      <c r="H182" s="8">
        <v>43237</v>
      </c>
      <c r="I182" s="14">
        <v>1979.0376000000001</v>
      </c>
      <c r="J182" s="8">
        <v>43306</v>
      </c>
    </row>
    <row r="183" spans="1:10" x14ac:dyDescent="0.25">
      <c r="A183" s="7">
        <v>180</v>
      </c>
      <c r="B183" s="8">
        <v>43306</v>
      </c>
      <c r="C183" s="9" t="s">
        <v>113</v>
      </c>
      <c r="D183" s="10" t="s">
        <v>24</v>
      </c>
      <c r="E183" s="15">
        <v>-17498.23569066</v>
      </c>
      <c r="F183" s="16">
        <v>-8.6565999999999992</v>
      </c>
      <c r="G183" s="13">
        <v>1707.8606760697101</v>
      </c>
      <c r="H183" s="8">
        <v>43306</v>
      </c>
      <c r="I183" s="14">
        <v>2021.3751</v>
      </c>
      <c r="J183" s="8">
        <v>43306</v>
      </c>
    </row>
    <row r="184" spans="1:10" x14ac:dyDescent="0.25">
      <c r="A184" s="7">
        <v>181</v>
      </c>
      <c r="B184" s="8">
        <v>43306</v>
      </c>
      <c r="C184" s="9" t="s">
        <v>114</v>
      </c>
      <c r="D184" s="10" t="s">
        <v>24</v>
      </c>
      <c r="E184" s="15">
        <v>-13211.10124107</v>
      </c>
      <c r="F184" s="16">
        <v>-6.5357000000000003</v>
      </c>
      <c r="G184" s="13">
        <v>1701.3249760697099</v>
      </c>
      <c r="H184" s="8">
        <v>43306</v>
      </c>
      <c r="I184" s="14">
        <v>2021.3751</v>
      </c>
      <c r="J184" s="8">
        <v>43306</v>
      </c>
    </row>
    <row r="185" spans="1:10" x14ac:dyDescent="0.25">
      <c r="A185" s="7">
        <v>182</v>
      </c>
      <c r="B185" s="8">
        <v>43337</v>
      </c>
      <c r="C185" s="9" t="s">
        <v>91</v>
      </c>
      <c r="D185" s="10" t="s">
        <v>21</v>
      </c>
      <c r="E185" s="11">
        <v>85000.010371840006</v>
      </c>
      <c r="F185" s="12">
        <v>42.647599999999997</v>
      </c>
      <c r="G185" s="13">
        <v>1743.9725760697099</v>
      </c>
      <c r="H185" s="8">
        <v>43272</v>
      </c>
      <c r="I185" s="14">
        <v>1993.0784000000001</v>
      </c>
      <c r="J185" s="8">
        <v>43337</v>
      </c>
    </row>
    <row r="186" spans="1:10" x14ac:dyDescent="0.25">
      <c r="A186" s="7">
        <v>183</v>
      </c>
      <c r="B186" s="8">
        <v>43337</v>
      </c>
      <c r="C186" s="9" t="s">
        <v>92</v>
      </c>
      <c r="D186" s="10" t="s">
        <v>21</v>
      </c>
      <c r="E186" s="11">
        <v>47500.040968000001</v>
      </c>
      <c r="F186" s="12">
        <v>23.8325</v>
      </c>
      <c r="G186" s="13">
        <v>1767.8050760697099</v>
      </c>
      <c r="H186" s="8">
        <v>43272</v>
      </c>
      <c r="I186" s="14">
        <v>1993.0784000000001</v>
      </c>
      <c r="J186" s="8">
        <v>43337</v>
      </c>
    </row>
    <row r="187" spans="1:10" x14ac:dyDescent="0.25">
      <c r="A187" s="7">
        <v>184</v>
      </c>
      <c r="B187" s="8">
        <v>43337</v>
      </c>
      <c r="C187" s="9" t="s">
        <v>115</v>
      </c>
      <c r="D187" s="10" t="s">
        <v>24</v>
      </c>
      <c r="E187" s="15">
        <v>-17308.01409194</v>
      </c>
      <c r="F187" s="16">
        <v>-8.6473999999999993</v>
      </c>
      <c r="G187" s="13">
        <v>1759.1576760697101</v>
      </c>
      <c r="H187" s="8">
        <v>43339</v>
      </c>
      <c r="I187" s="14">
        <v>2001.5281</v>
      </c>
      <c r="J187" s="8">
        <v>43337</v>
      </c>
    </row>
    <row r="188" spans="1:10" x14ac:dyDescent="0.25">
      <c r="A188" s="7">
        <v>185</v>
      </c>
      <c r="B188" s="8">
        <v>43337</v>
      </c>
      <c r="C188" s="9" t="s">
        <v>116</v>
      </c>
      <c r="D188" s="10" t="s">
        <v>24</v>
      </c>
      <c r="E188" s="15">
        <v>-13067.37650647</v>
      </c>
      <c r="F188" s="16">
        <v>-6.5286999999999997</v>
      </c>
      <c r="G188" s="13">
        <v>1752.62897606971</v>
      </c>
      <c r="H188" s="8">
        <v>43339</v>
      </c>
      <c r="I188" s="14">
        <v>2001.5281</v>
      </c>
      <c r="J188" s="8">
        <v>43337</v>
      </c>
    </row>
    <row r="189" spans="1:10" x14ac:dyDescent="0.25">
      <c r="A189" s="7">
        <v>186</v>
      </c>
      <c r="B189" s="8">
        <v>43368</v>
      </c>
      <c r="C189" s="9" t="s">
        <v>117</v>
      </c>
      <c r="D189" s="10" t="s">
        <v>21</v>
      </c>
      <c r="E189" s="11">
        <v>100000.03622215999</v>
      </c>
      <c r="F189" s="12">
        <v>49.2181</v>
      </c>
      <c r="G189" s="13">
        <v>1801.8470760697101</v>
      </c>
      <c r="H189" s="8">
        <v>43299</v>
      </c>
      <c r="I189" s="14">
        <v>2031.7736</v>
      </c>
      <c r="J189" s="8">
        <v>43368</v>
      </c>
    </row>
    <row r="190" spans="1:10" x14ac:dyDescent="0.25">
      <c r="A190" s="7">
        <v>187</v>
      </c>
      <c r="B190" s="8">
        <v>43368</v>
      </c>
      <c r="C190" s="9" t="s">
        <v>118</v>
      </c>
      <c r="D190" s="10" t="s">
        <v>21</v>
      </c>
      <c r="E190" s="11">
        <v>47500.022284960003</v>
      </c>
      <c r="F190" s="12">
        <v>23.378599999999999</v>
      </c>
      <c r="G190" s="13">
        <v>1825.2256760697101</v>
      </c>
      <c r="H190" s="8">
        <v>43299</v>
      </c>
      <c r="I190" s="14">
        <v>2031.7736</v>
      </c>
      <c r="J190" s="8">
        <v>43368</v>
      </c>
    </row>
    <row r="191" spans="1:10" x14ac:dyDescent="0.25">
      <c r="A191" s="7">
        <v>188</v>
      </c>
      <c r="B191" s="8">
        <v>43368</v>
      </c>
      <c r="C191" s="9" t="s">
        <v>119</v>
      </c>
      <c r="D191" s="10" t="s">
        <v>24</v>
      </c>
      <c r="E191" s="15">
        <v>-18254.251215200002</v>
      </c>
      <c r="F191" s="16">
        <v>-9.2612000000000005</v>
      </c>
      <c r="G191" s="13">
        <v>1815.9644760697099</v>
      </c>
      <c r="H191" s="8">
        <v>43368</v>
      </c>
      <c r="I191" s="14">
        <v>1971.046</v>
      </c>
      <c r="J191" s="8">
        <v>43368</v>
      </c>
    </row>
    <row r="192" spans="1:10" x14ac:dyDescent="0.25">
      <c r="A192" s="7">
        <v>189</v>
      </c>
      <c r="B192" s="8">
        <v>43368</v>
      </c>
      <c r="C192" s="9" t="s">
        <v>120</v>
      </c>
      <c r="D192" s="10" t="s">
        <v>24</v>
      </c>
      <c r="E192" s="15">
        <v>-13239.910191200001</v>
      </c>
      <c r="F192" s="16">
        <v>-6.7172000000000001</v>
      </c>
      <c r="G192" s="13">
        <v>1809.2472760697101</v>
      </c>
      <c r="H192" s="8">
        <v>43368</v>
      </c>
      <c r="I192" s="14">
        <v>1971.046</v>
      </c>
      <c r="J192" s="8">
        <v>43368</v>
      </c>
    </row>
    <row r="193" spans="1:10" x14ac:dyDescent="0.25">
      <c r="A193" s="7">
        <v>190</v>
      </c>
      <c r="B193" s="8">
        <v>43398</v>
      </c>
      <c r="C193" s="9" t="s">
        <v>117</v>
      </c>
      <c r="D193" s="10" t="s">
        <v>21</v>
      </c>
      <c r="E193" s="11">
        <v>99999.942501119993</v>
      </c>
      <c r="F193" s="12">
        <v>50.639200000000002</v>
      </c>
      <c r="G193" s="13">
        <v>1859.8864760697099</v>
      </c>
      <c r="H193" s="8">
        <v>43333</v>
      </c>
      <c r="I193" s="14">
        <v>1974.7536</v>
      </c>
      <c r="J193" s="8">
        <v>43398</v>
      </c>
    </row>
    <row r="194" spans="1:10" x14ac:dyDescent="0.25">
      <c r="A194" s="7">
        <v>191</v>
      </c>
      <c r="B194" s="8">
        <v>43398</v>
      </c>
      <c r="C194" s="9" t="s">
        <v>118</v>
      </c>
      <c r="D194" s="10" t="s">
        <v>21</v>
      </c>
      <c r="E194" s="11">
        <v>47499.933192960001</v>
      </c>
      <c r="F194" s="12">
        <v>24.053599999999999</v>
      </c>
      <c r="G194" s="13">
        <v>1883.9400760697099</v>
      </c>
      <c r="H194" s="8">
        <v>43333</v>
      </c>
      <c r="I194" s="14">
        <v>1974.7536</v>
      </c>
      <c r="J194" s="8">
        <v>43398</v>
      </c>
    </row>
    <row r="195" spans="1:10" x14ac:dyDescent="0.25">
      <c r="A195" s="7">
        <v>192</v>
      </c>
      <c r="B195" s="8">
        <v>43398</v>
      </c>
      <c r="C195" s="9" t="s">
        <v>121</v>
      </c>
      <c r="D195" s="10" t="s">
        <v>24</v>
      </c>
      <c r="E195" s="15">
        <v>-18246.16529176</v>
      </c>
      <c r="F195" s="16">
        <v>-9.3498999999999999</v>
      </c>
      <c r="G195" s="13">
        <v>1874.59017606971</v>
      </c>
      <c r="H195" s="8">
        <v>43398</v>
      </c>
      <c r="I195" s="14">
        <v>1951.4824000000001</v>
      </c>
      <c r="J195" s="8">
        <v>43398</v>
      </c>
    </row>
    <row r="196" spans="1:10" x14ac:dyDescent="0.25">
      <c r="A196" s="7">
        <v>193</v>
      </c>
      <c r="B196" s="8">
        <v>43398</v>
      </c>
      <c r="C196" s="9" t="s">
        <v>122</v>
      </c>
      <c r="D196" s="10" t="s">
        <v>24</v>
      </c>
      <c r="E196" s="15">
        <v>-13234.173043840001</v>
      </c>
      <c r="F196" s="16">
        <v>-6.7816000000000001</v>
      </c>
      <c r="G196" s="13">
        <v>1867.8085760697099</v>
      </c>
      <c r="H196" s="8">
        <v>43398</v>
      </c>
      <c r="I196" s="14">
        <v>1951.4824000000001</v>
      </c>
      <c r="J196" s="8">
        <v>43398</v>
      </c>
    </row>
    <row r="197" spans="1:10" x14ac:dyDescent="0.25">
      <c r="A197" s="7">
        <v>194</v>
      </c>
      <c r="B197" s="8">
        <v>43429</v>
      </c>
      <c r="C197" s="9" t="s">
        <v>117</v>
      </c>
      <c r="D197" s="10" t="s">
        <v>21</v>
      </c>
      <c r="E197" s="11">
        <v>99999.943185740005</v>
      </c>
      <c r="F197" s="12">
        <v>51.023299999999999</v>
      </c>
      <c r="G197" s="13">
        <v>1918.83187606971</v>
      </c>
      <c r="H197" s="8">
        <v>43361</v>
      </c>
      <c r="I197" s="14">
        <v>1959.8878</v>
      </c>
      <c r="J197" s="8">
        <v>43429</v>
      </c>
    </row>
    <row r="198" spans="1:10" x14ac:dyDescent="0.25">
      <c r="A198" s="7">
        <v>195</v>
      </c>
      <c r="B198" s="8">
        <v>43429</v>
      </c>
      <c r="C198" s="9" t="s">
        <v>118</v>
      </c>
      <c r="D198" s="10" t="s">
        <v>21</v>
      </c>
      <c r="E198" s="11">
        <v>47500.036709580003</v>
      </c>
      <c r="F198" s="12">
        <v>24.2361</v>
      </c>
      <c r="G198" s="13">
        <v>1943.0679760697101</v>
      </c>
      <c r="H198" s="8">
        <v>43361</v>
      </c>
      <c r="I198" s="14">
        <v>1959.8878</v>
      </c>
      <c r="J198" s="8">
        <v>43429</v>
      </c>
    </row>
    <row r="199" spans="1:10" x14ac:dyDescent="0.25">
      <c r="A199" s="7">
        <v>196</v>
      </c>
      <c r="B199" s="8">
        <v>43429</v>
      </c>
      <c r="C199" s="9" t="s">
        <v>123</v>
      </c>
      <c r="D199" s="10" t="s">
        <v>24</v>
      </c>
      <c r="E199" s="15">
        <v>-18180.745823360001</v>
      </c>
      <c r="F199" s="16">
        <v>-9.0446000000000009</v>
      </c>
      <c r="G199" s="13">
        <v>1934.0233760697099</v>
      </c>
      <c r="H199" s="8">
        <v>43430</v>
      </c>
      <c r="I199" s="14">
        <v>2010.1215999999999</v>
      </c>
      <c r="J199" s="8">
        <v>43429</v>
      </c>
    </row>
    <row r="200" spans="1:10" x14ac:dyDescent="0.25">
      <c r="A200" s="7">
        <v>197</v>
      </c>
      <c r="B200" s="8">
        <v>43429</v>
      </c>
      <c r="C200" s="9" t="s">
        <v>124</v>
      </c>
      <c r="D200" s="10" t="s">
        <v>24</v>
      </c>
      <c r="E200" s="15">
        <v>-13186.799720319999</v>
      </c>
      <c r="F200" s="16">
        <v>-6.5602</v>
      </c>
      <c r="G200" s="13">
        <v>1927.46317606971</v>
      </c>
      <c r="H200" s="8">
        <v>43430</v>
      </c>
      <c r="I200" s="14">
        <v>2010.1215999999999</v>
      </c>
      <c r="J200" s="8">
        <v>43429</v>
      </c>
    </row>
    <row r="201" spans="1:10" x14ac:dyDescent="0.25">
      <c r="A201" s="7">
        <v>198</v>
      </c>
      <c r="B201" s="8">
        <v>43459</v>
      </c>
      <c r="C201" s="9" t="s">
        <v>117</v>
      </c>
      <c r="D201" s="10" t="s">
        <v>21</v>
      </c>
      <c r="E201" s="11">
        <v>100000.0276496</v>
      </c>
      <c r="F201" s="12">
        <v>50.1355</v>
      </c>
      <c r="G201" s="13">
        <v>1977.5986760697101</v>
      </c>
      <c r="H201" s="8">
        <v>43390</v>
      </c>
      <c r="I201" s="14">
        <v>1994.5952</v>
      </c>
      <c r="J201" s="8">
        <v>43459</v>
      </c>
    </row>
    <row r="202" spans="1:10" x14ac:dyDescent="0.25">
      <c r="A202" s="7">
        <v>199</v>
      </c>
      <c r="B202" s="8">
        <v>43459</v>
      </c>
      <c r="C202" s="9" t="s">
        <v>118</v>
      </c>
      <c r="D202" s="10" t="s">
        <v>21</v>
      </c>
      <c r="E202" s="11">
        <v>47500.087930879999</v>
      </c>
      <c r="F202" s="12">
        <v>23.814399999999999</v>
      </c>
      <c r="G202" s="13">
        <v>2001.4130760697101</v>
      </c>
      <c r="H202" s="8">
        <v>43390</v>
      </c>
      <c r="I202" s="14">
        <v>1994.5952</v>
      </c>
      <c r="J202" s="8">
        <v>43459</v>
      </c>
    </row>
    <row r="203" spans="1:10" x14ac:dyDescent="0.25">
      <c r="A203" s="7">
        <v>200</v>
      </c>
      <c r="B203" s="8">
        <v>43459</v>
      </c>
      <c r="C203" s="9" t="s">
        <v>125</v>
      </c>
      <c r="D203" s="10" t="s">
        <v>24</v>
      </c>
      <c r="E203" s="15">
        <v>-18153.50809752</v>
      </c>
      <c r="F203" s="16">
        <v>-9.0071999999999992</v>
      </c>
      <c r="G203" s="13">
        <v>1992.4058760697101</v>
      </c>
      <c r="H203" s="8">
        <v>43460</v>
      </c>
      <c r="I203" s="14">
        <v>2015.4440999999999</v>
      </c>
      <c r="J203" s="8">
        <v>43459</v>
      </c>
    </row>
    <row r="204" spans="1:10" x14ac:dyDescent="0.25">
      <c r="A204" s="7">
        <v>201</v>
      </c>
      <c r="B204" s="8">
        <v>43459</v>
      </c>
      <c r="C204" s="9" t="s">
        <v>126</v>
      </c>
      <c r="D204" s="10" t="s">
        <v>24</v>
      </c>
      <c r="E204" s="15">
        <v>-13166.896305300001</v>
      </c>
      <c r="F204" s="16">
        <v>-6.5330000000000004</v>
      </c>
      <c r="G204" s="13">
        <v>1985.8728760697099</v>
      </c>
      <c r="H204" s="8">
        <v>43460</v>
      </c>
      <c r="I204" s="14">
        <v>2015.4440999999999</v>
      </c>
      <c r="J204" s="8">
        <v>43459</v>
      </c>
    </row>
    <row r="205" spans="1:10" x14ac:dyDescent="0.25">
      <c r="A205" s="7">
        <v>202</v>
      </c>
      <c r="B205" s="8">
        <v>43490</v>
      </c>
      <c r="C205" s="9" t="s">
        <v>117</v>
      </c>
      <c r="D205" s="10" t="s">
        <v>21</v>
      </c>
      <c r="E205" s="11">
        <v>99999.979847249997</v>
      </c>
      <c r="F205" s="12">
        <v>49.226700000000001</v>
      </c>
      <c r="G205" s="13">
        <v>2035.0995760697101</v>
      </c>
      <c r="H205" s="8">
        <v>43462</v>
      </c>
      <c r="I205" s="14">
        <v>2031.4175</v>
      </c>
      <c r="J205" s="8">
        <v>43490</v>
      </c>
    </row>
    <row r="206" spans="1:10" x14ac:dyDescent="0.25">
      <c r="A206" s="7">
        <v>203</v>
      </c>
      <c r="B206" s="8">
        <v>43490</v>
      </c>
      <c r="C206" s="9" t="s">
        <v>118</v>
      </c>
      <c r="D206" s="10" t="s">
        <v>21</v>
      </c>
      <c r="E206" s="11">
        <v>47500.025977249999</v>
      </c>
      <c r="F206" s="12">
        <v>23.3827</v>
      </c>
      <c r="G206" s="13">
        <v>2058.4822760697102</v>
      </c>
      <c r="H206" s="8">
        <v>43462</v>
      </c>
      <c r="I206" s="14">
        <v>2031.4175</v>
      </c>
      <c r="J206" s="8">
        <v>43490</v>
      </c>
    </row>
    <row r="207" spans="1:10" x14ac:dyDescent="0.25">
      <c r="A207" s="7">
        <v>204</v>
      </c>
      <c r="B207" s="8">
        <v>43490</v>
      </c>
      <c r="C207" s="9" t="s">
        <v>127</v>
      </c>
      <c r="D207" s="10" t="s">
        <v>24</v>
      </c>
      <c r="E207" s="15">
        <v>-18254.790318380001</v>
      </c>
      <c r="F207" s="16">
        <v>-8.6042000000000005</v>
      </c>
      <c r="G207" s="13">
        <v>2049.87807606971</v>
      </c>
      <c r="H207" s="8">
        <v>43490</v>
      </c>
      <c r="I207" s="14">
        <v>2121.6138999999998</v>
      </c>
      <c r="J207" s="8">
        <v>43490</v>
      </c>
    </row>
    <row r="208" spans="1:10" x14ac:dyDescent="0.25">
      <c r="A208" s="7">
        <v>205</v>
      </c>
      <c r="B208" s="8">
        <v>43490</v>
      </c>
      <c r="C208" s="9" t="s">
        <v>128</v>
      </c>
      <c r="D208" s="10" t="s">
        <v>24</v>
      </c>
      <c r="E208" s="15">
        <v>-13240.35586573</v>
      </c>
      <c r="F208" s="16">
        <v>-6.2407000000000004</v>
      </c>
      <c r="G208" s="13">
        <v>2043.6373760697099</v>
      </c>
      <c r="H208" s="8">
        <v>43490</v>
      </c>
      <c r="I208" s="14">
        <v>2121.6138999999998</v>
      </c>
      <c r="J208" s="8">
        <v>43490</v>
      </c>
    </row>
    <row r="209" spans="1:10" x14ac:dyDescent="0.25">
      <c r="A209" s="7">
        <v>206</v>
      </c>
      <c r="B209" s="8">
        <v>43521</v>
      </c>
      <c r="C209" s="9" t="s">
        <v>117</v>
      </c>
      <c r="D209" s="10" t="s">
        <v>21</v>
      </c>
      <c r="E209" s="11">
        <v>99999.979847249997</v>
      </c>
      <c r="F209" s="12">
        <v>49.226700000000001</v>
      </c>
      <c r="G209" s="13">
        <v>2092.8640760697099</v>
      </c>
      <c r="H209" s="8">
        <v>43462</v>
      </c>
      <c r="I209" s="14">
        <v>2031.4175</v>
      </c>
      <c r="J209" s="8">
        <v>43521</v>
      </c>
    </row>
    <row r="210" spans="1:10" x14ac:dyDescent="0.25">
      <c r="A210" s="7">
        <v>207</v>
      </c>
      <c r="B210" s="8">
        <v>43521</v>
      </c>
      <c r="C210" s="9" t="s">
        <v>118</v>
      </c>
      <c r="D210" s="10" t="s">
        <v>21</v>
      </c>
      <c r="E210" s="11">
        <v>47500.025977249999</v>
      </c>
      <c r="F210" s="12">
        <v>23.3827</v>
      </c>
      <c r="G210" s="13">
        <v>2116.24677606971</v>
      </c>
      <c r="H210" s="8">
        <v>43462</v>
      </c>
      <c r="I210" s="14">
        <v>2031.4175</v>
      </c>
      <c r="J210" s="8">
        <v>43521</v>
      </c>
    </row>
    <row r="211" spans="1:10" x14ac:dyDescent="0.25">
      <c r="A211" s="7">
        <v>208</v>
      </c>
      <c r="B211" s="8">
        <v>43521</v>
      </c>
      <c r="C211" s="9" t="s">
        <v>129</v>
      </c>
      <c r="D211" s="10" t="s">
        <v>24</v>
      </c>
      <c r="E211" s="15">
        <v>-18161.30888778</v>
      </c>
      <c r="F211" s="16">
        <v>-8.6313999999999993</v>
      </c>
      <c r="G211" s="13">
        <v>2107.6153760697098</v>
      </c>
      <c r="H211" s="8">
        <v>43521</v>
      </c>
      <c r="I211" s="14">
        <v>2104.0976999999998</v>
      </c>
      <c r="J211" s="8">
        <v>43521</v>
      </c>
    </row>
    <row r="212" spans="1:10" x14ac:dyDescent="0.25">
      <c r="A212" s="7">
        <v>209</v>
      </c>
      <c r="B212" s="8">
        <v>43521</v>
      </c>
      <c r="C212" s="9" t="s">
        <v>130</v>
      </c>
      <c r="D212" s="10" t="s">
        <v>24</v>
      </c>
      <c r="E212" s="15">
        <v>-13172.70365085</v>
      </c>
      <c r="F212" s="16">
        <v>-6.2605000000000004</v>
      </c>
      <c r="G212" s="13">
        <v>2101.3548760697099</v>
      </c>
      <c r="H212" s="8">
        <v>43521</v>
      </c>
      <c r="I212" s="14">
        <v>2104.0976999999998</v>
      </c>
      <c r="J212" s="8">
        <v>43521</v>
      </c>
    </row>
    <row r="213" spans="1:10" x14ac:dyDescent="0.25">
      <c r="A213" s="7">
        <v>210</v>
      </c>
      <c r="B213" s="8">
        <v>43549</v>
      </c>
      <c r="C213" s="9" t="s">
        <v>117</v>
      </c>
      <c r="D213" s="10" t="s">
        <v>21</v>
      </c>
      <c r="E213" s="11">
        <v>99999.902950920005</v>
      </c>
      <c r="F213" s="12">
        <v>47.157299999999999</v>
      </c>
      <c r="G213" s="13">
        <v>2148.5121760697102</v>
      </c>
      <c r="H213" s="8">
        <v>43483</v>
      </c>
      <c r="I213" s="14">
        <v>2120.5603999999998</v>
      </c>
      <c r="J213" s="8">
        <v>43549</v>
      </c>
    </row>
    <row r="214" spans="1:10" x14ac:dyDescent="0.25">
      <c r="A214" s="7">
        <v>211</v>
      </c>
      <c r="B214" s="8">
        <v>43549</v>
      </c>
      <c r="C214" s="9" t="s">
        <v>118</v>
      </c>
      <c r="D214" s="10" t="s">
        <v>21</v>
      </c>
      <c r="E214" s="11">
        <v>47499.916791880001</v>
      </c>
      <c r="F214" s="12">
        <v>22.399699999999999</v>
      </c>
      <c r="G214" s="13">
        <v>2170.9118760697102</v>
      </c>
      <c r="H214" s="8">
        <v>43483</v>
      </c>
      <c r="I214" s="14">
        <v>2120.5603999999998</v>
      </c>
      <c r="J214" s="8">
        <v>43549</v>
      </c>
    </row>
    <row r="215" spans="1:10" x14ac:dyDescent="0.25">
      <c r="A215" s="7">
        <v>212</v>
      </c>
      <c r="B215" s="8">
        <v>43549</v>
      </c>
      <c r="C215" s="9" t="s">
        <v>131</v>
      </c>
      <c r="D215" s="10" t="s">
        <v>24</v>
      </c>
      <c r="E215" s="15">
        <v>-17914.415858100001</v>
      </c>
      <c r="F215" s="16">
        <v>-8.8629999999999995</v>
      </c>
      <c r="G215" s="13">
        <v>2162.0488760697099</v>
      </c>
      <c r="H215" s="8">
        <v>43549</v>
      </c>
      <c r="I215" s="14">
        <v>2021.2587000000001</v>
      </c>
      <c r="J215" s="8">
        <v>43549</v>
      </c>
    </row>
    <row r="216" spans="1:10" x14ac:dyDescent="0.25">
      <c r="A216" s="7">
        <v>213</v>
      </c>
      <c r="B216" s="8">
        <v>43549</v>
      </c>
      <c r="C216" s="9" t="s">
        <v>132</v>
      </c>
      <c r="D216" s="10" t="s">
        <v>24</v>
      </c>
      <c r="E216" s="15">
        <v>-12993.459427080001</v>
      </c>
      <c r="F216" s="16">
        <v>-6.4283999999999999</v>
      </c>
      <c r="G216" s="13">
        <v>2155.6204760697101</v>
      </c>
      <c r="H216" s="8">
        <v>43549</v>
      </c>
      <c r="I216" s="14">
        <v>2021.2587000000001</v>
      </c>
      <c r="J216" s="8">
        <v>43549</v>
      </c>
    </row>
    <row r="217" spans="1:10" x14ac:dyDescent="0.25">
      <c r="A217" s="7">
        <v>214</v>
      </c>
      <c r="B217" s="8">
        <v>43580</v>
      </c>
      <c r="C217" s="9" t="s">
        <v>117</v>
      </c>
      <c r="D217" s="10" t="s">
        <v>21</v>
      </c>
      <c r="E217" s="11">
        <v>99999.960647999993</v>
      </c>
      <c r="F217" s="12">
        <v>47.522399999999998</v>
      </c>
      <c r="G217" s="13">
        <v>2203.1428760697099</v>
      </c>
      <c r="H217" s="8">
        <v>43516</v>
      </c>
      <c r="I217" s="14">
        <v>2104.27</v>
      </c>
      <c r="J217" s="8">
        <v>43580</v>
      </c>
    </row>
    <row r="218" spans="1:10" x14ac:dyDescent="0.25">
      <c r="A218" s="7">
        <v>215</v>
      </c>
      <c r="B218" s="8">
        <v>43580</v>
      </c>
      <c r="C218" s="9" t="s">
        <v>118</v>
      </c>
      <c r="D218" s="10" t="s">
        <v>21</v>
      </c>
      <c r="E218" s="11">
        <v>47499.897137</v>
      </c>
      <c r="F218" s="12">
        <v>22.5731</v>
      </c>
      <c r="G218" s="13">
        <v>2225.71597606971</v>
      </c>
      <c r="H218" s="8">
        <v>43516</v>
      </c>
      <c r="I218" s="14">
        <v>2104.27</v>
      </c>
      <c r="J218" s="8">
        <v>43580</v>
      </c>
    </row>
    <row r="219" spans="1:10" x14ac:dyDescent="0.25">
      <c r="A219" s="7">
        <v>216</v>
      </c>
      <c r="B219" s="8">
        <v>43580</v>
      </c>
      <c r="C219" s="9" t="s">
        <v>133</v>
      </c>
      <c r="D219" s="10" t="s">
        <v>24</v>
      </c>
      <c r="E219" s="15">
        <v>-17703.762040580001</v>
      </c>
      <c r="F219" s="16">
        <v>-8.7241</v>
      </c>
      <c r="G219" s="13">
        <v>2216.9918760697101</v>
      </c>
      <c r="H219" s="8">
        <v>43580</v>
      </c>
      <c r="I219" s="14">
        <v>2029.2937999999999</v>
      </c>
      <c r="J219" s="8">
        <v>43580</v>
      </c>
    </row>
    <row r="220" spans="1:10" x14ac:dyDescent="0.25">
      <c r="A220" s="7">
        <v>217</v>
      </c>
      <c r="B220" s="8">
        <v>43580</v>
      </c>
      <c r="C220" s="9" t="s">
        <v>134</v>
      </c>
      <c r="D220" s="10" t="s">
        <v>24</v>
      </c>
      <c r="E220" s="15">
        <v>-12840.76237826</v>
      </c>
      <c r="F220" s="16">
        <v>-6.3277000000000001</v>
      </c>
      <c r="G220" s="13">
        <v>2210.6641760697098</v>
      </c>
      <c r="H220" s="8">
        <v>43580</v>
      </c>
      <c r="I220" s="14">
        <v>2029.2937999999999</v>
      </c>
      <c r="J220" s="8">
        <v>43580</v>
      </c>
    </row>
    <row r="221" spans="1:10" x14ac:dyDescent="0.25">
      <c r="A221" s="7">
        <v>218</v>
      </c>
      <c r="B221" s="8">
        <v>43610</v>
      </c>
      <c r="C221" s="9" t="s">
        <v>117</v>
      </c>
      <c r="D221" s="10" t="s">
        <v>21</v>
      </c>
      <c r="E221" s="11">
        <v>99999.961996159996</v>
      </c>
      <c r="F221" s="12">
        <v>48.212800000000001</v>
      </c>
      <c r="G221" s="13">
        <v>2258.8769760697101</v>
      </c>
      <c r="H221" s="8">
        <v>43544</v>
      </c>
      <c r="I221" s="14">
        <v>2074.1372000000001</v>
      </c>
      <c r="J221" s="8">
        <v>43610</v>
      </c>
    </row>
    <row r="222" spans="1:10" x14ac:dyDescent="0.25">
      <c r="A222" s="7">
        <v>219</v>
      </c>
      <c r="B222" s="8">
        <v>43610</v>
      </c>
      <c r="C222" s="9" t="s">
        <v>118</v>
      </c>
      <c r="D222" s="10" t="s">
        <v>21</v>
      </c>
      <c r="E222" s="11">
        <v>47500.023430920002</v>
      </c>
      <c r="F222" s="12">
        <v>22.9011</v>
      </c>
      <c r="G222" s="13">
        <v>2281.7780760697101</v>
      </c>
      <c r="H222" s="8">
        <v>43544</v>
      </c>
      <c r="I222" s="14">
        <v>2074.1372000000001</v>
      </c>
      <c r="J222" s="8">
        <v>43610</v>
      </c>
    </row>
    <row r="223" spans="1:10" x14ac:dyDescent="0.25">
      <c r="A223" s="7">
        <v>220</v>
      </c>
      <c r="B223" s="8">
        <v>43610</v>
      </c>
      <c r="C223" s="9" t="s">
        <v>135</v>
      </c>
      <c r="D223" s="10" t="s">
        <v>24</v>
      </c>
      <c r="E223" s="15">
        <v>-17220.147557200002</v>
      </c>
      <c r="F223" s="16">
        <v>-8.8376000000000001</v>
      </c>
      <c r="G223" s="13">
        <v>2272.9404760697098</v>
      </c>
      <c r="H223" s="8">
        <v>43612</v>
      </c>
      <c r="I223" s="14">
        <v>1948.5094999999999</v>
      </c>
      <c r="J223" s="8">
        <v>43610</v>
      </c>
    </row>
    <row r="224" spans="1:10" x14ac:dyDescent="0.25">
      <c r="A224" s="7">
        <v>221</v>
      </c>
      <c r="B224" s="8">
        <v>43610</v>
      </c>
      <c r="C224" s="9" t="s">
        <v>136</v>
      </c>
      <c r="D224" s="10" t="s">
        <v>24</v>
      </c>
      <c r="E224" s="15">
        <v>-12489.945895000001</v>
      </c>
      <c r="F224" s="16">
        <v>-6.41</v>
      </c>
      <c r="G224" s="13">
        <v>2266.5304760697099</v>
      </c>
      <c r="H224" s="8">
        <v>43612</v>
      </c>
      <c r="I224" s="14">
        <v>1948.5094999999999</v>
      </c>
      <c r="J224" s="8">
        <v>43610</v>
      </c>
    </row>
    <row r="225" spans="1:10" x14ac:dyDescent="0.25">
      <c r="A225" s="7">
        <v>222</v>
      </c>
      <c r="B225" s="8">
        <v>43641</v>
      </c>
      <c r="C225" s="9" t="s">
        <v>117</v>
      </c>
      <c r="D225" s="10" t="s">
        <v>21</v>
      </c>
      <c r="E225" s="11">
        <v>99999.993409500006</v>
      </c>
      <c r="F225" s="12">
        <v>50.192500000000003</v>
      </c>
      <c r="G225" s="13">
        <v>2316.7229760697101</v>
      </c>
      <c r="H225" s="8">
        <v>43616</v>
      </c>
      <c r="I225" s="14">
        <v>1992.3294000000001</v>
      </c>
      <c r="J225" s="8">
        <v>43641</v>
      </c>
    </row>
    <row r="226" spans="1:10" x14ac:dyDescent="0.25">
      <c r="A226" s="7">
        <v>223</v>
      </c>
      <c r="B226" s="8">
        <v>43641</v>
      </c>
      <c r="C226" s="9" t="s">
        <v>118</v>
      </c>
      <c r="D226" s="10" t="s">
        <v>21</v>
      </c>
      <c r="E226" s="11">
        <v>47499.922157159999</v>
      </c>
      <c r="F226" s="12">
        <v>23.8414</v>
      </c>
      <c r="G226" s="13">
        <v>2340.5643760697099</v>
      </c>
      <c r="H226" s="8">
        <v>43616</v>
      </c>
      <c r="I226" s="14">
        <v>1992.3294000000001</v>
      </c>
      <c r="J226" s="8">
        <v>43641</v>
      </c>
    </row>
    <row r="227" spans="1:10" x14ac:dyDescent="0.25">
      <c r="A227" s="7">
        <v>224</v>
      </c>
      <c r="B227" s="8">
        <v>43641</v>
      </c>
      <c r="C227" s="9" t="s">
        <v>137</v>
      </c>
      <c r="D227" s="10" t="s">
        <v>24</v>
      </c>
      <c r="E227" s="15">
        <v>-17561.447690559999</v>
      </c>
      <c r="F227" s="16">
        <v>-8.6047999999999991</v>
      </c>
      <c r="G227" s="13">
        <v>2331.9595760697098</v>
      </c>
      <c r="H227" s="8">
        <v>43641</v>
      </c>
      <c r="I227" s="14">
        <v>2040.8896999999999</v>
      </c>
      <c r="J227" s="8">
        <v>43641</v>
      </c>
    </row>
    <row r="228" spans="1:10" x14ac:dyDescent="0.25">
      <c r="A228" s="7">
        <v>225</v>
      </c>
      <c r="B228" s="8">
        <v>43641</v>
      </c>
      <c r="C228" s="9" t="s">
        <v>138</v>
      </c>
      <c r="D228" s="10" t="s">
        <v>24</v>
      </c>
      <c r="E228" s="15">
        <v>-12737.600795640001</v>
      </c>
      <c r="F228" s="16">
        <v>-6.2412000000000001</v>
      </c>
      <c r="G228" s="13">
        <v>2325.7183760697098</v>
      </c>
      <c r="H228" s="8">
        <v>43641</v>
      </c>
      <c r="I228" s="14">
        <v>2040.8896999999999</v>
      </c>
      <c r="J228" s="8">
        <v>43641</v>
      </c>
    </row>
    <row r="229" spans="1:10" x14ac:dyDescent="0.25">
      <c r="A229" s="7">
        <v>226</v>
      </c>
      <c r="B229" s="8">
        <v>43671</v>
      </c>
      <c r="C229" s="9" t="s">
        <v>117</v>
      </c>
      <c r="D229" s="10" t="s">
        <v>21</v>
      </c>
      <c r="E229" s="11">
        <v>99999.993409500006</v>
      </c>
      <c r="F229" s="12">
        <v>50.192500000000003</v>
      </c>
      <c r="G229" s="13">
        <v>2375.91087606971</v>
      </c>
      <c r="H229" s="8">
        <v>43616</v>
      </c>
      <c r="I229" s="14">
        <v>1992.3294000000001</v>
      </c>
      <c r="J229" s="8">
        <v>43671</v>
      </c>
    </row>
    <row r="230" spans="1:10" x14ac:dyDescent="0.25">
      <c r="A230" s="7">
        <v>227</v>
      </c>
      <c r="B230" s="8">
        <v>43671</v>
      </c>
      <c r="C230" s="9" t="s">
        <v>118</v>
      </c>
      <c r="D230" s="10" t="s">
        <v>21</v>
      </c>
      <c r="E230" s="11">
        <v>47499.922157159999</v>
      </c>
      <c r="F230" s="12">
        <v>23.8414</v>
      </c>
      <c r="G230" s="13">
        <v>2399.7522760697102</v>
      </c>
      <c r="H230" s="8">
        <v>43616</v>
      </c>
      <c r="I230" s="14">
        <v>1992.3294000000001</v>
      </c>
      <c r="J230" s="8">
        <v>43671</v>
      </c>
    </row>
    <row r="231" spans="1:10" x14ac:dyDescent="0.25">
      <c r="A231" s="7">
        <v>228</v>
      </c>
      <c r="B231" s="8">
        <v>43671</v>
      </c>
      <c r="C231" s="9" t="s">
        <v>139</v>
      </c>
      <c r="D231" s="10" t="s">
        <v>24</v>
      </c>
      <c r="E231" s="15">
        <v>-17389.015061400001</v>
      </c>
      <c r="F231" s="16">
        <v>-8.4269999999999996</v>
      </c>
      <c r="G231" s="13">
        <v>2391.3252760697101</v>
      </c>
      <c r="H231" s="8">
        <v>43671</v>
      </c>
      <c r="I231" s="14">
        <v>2063.4881999999998</v>
      </c>
      <c r="J231" s="8">
        <v>43671</v>
      </c>
    </row>
    <row r="232" spans="1:10" x14ac:dyDescent="0.25">
      <c r="A232" s="7">
        <v>229</v>
      </c>
      <c r="B232" s="8">
        <v>43671</v>
      </c>
      <c r="C232" s="9" t="s">
        <v>140</v>
      </c>
      <c r="D232" s="10" t="s">
        <v>24</v>
      </c>
      <c r="E232" s="15">
        <v>-12612.452576039999</v>
      </c>
      <c r="F232" s="16">
        <v>-6.1121999999999996</v>
      </c>
      <c r="G232" s="13">
        <v>2385.21307606971</v>
      </c>
      <c r="H232" s="8">
        <v>43671</v>
      </c>
      <c r="I232" s="14">
        <v>2063.4881999999998</v>
      </c>
      <c r="J232" s="8">
        <v>43671</v>
      </c>
    </row>
    <row r="233" spans="1:10" x14ac:dyDescent="0.25">
      <c r="A233" s="7">
        <v>230</v>
      </c>
      <c r="B233" s="8">
        <v>43702</v>
      </c>
      <c r="C233" s="9" t="s">
        <v>117</v>
      </c>
      <c r="D233" s="10" t="s">
        <v>21</v>
      </c>
      <c r="E233" s="11">
        <v>100000.08515951999</v>
      </c>
      <c r="F233" s="12">
        <v>48.973599999999998</v>
      </c>
      <c r="G233" s="13">
        <v>2434.1866760697098</v>
      </c>
      <c r="H233" s="8">
        <v>43634</v>
      </c>
      <c r="I233" s="14">
        <v>2041.9182000000001</v>
      </c>
      <c r="J233" s="8">
        <v>43702</v>
      </c>
    </row>
    <row r="234" spans="1:10" x14ac:dyDescent="0.25">
      <c r="A234" s="7">
        <v>231</v>
      </c>
      <c r="B234" s="8">
        <v>43702</v>
      </c>
      <c r="C234" s="9" t="s">
        <v>118</v>
      </c>
      <c r="D234" s="10" t="s">
        <v>21</v>
      </c>
      <c r="E234" s="11">
        <v>47499.917935680001</v>
      </c>
      <c r="F234" s="12">
        <v>23.2624</v>
      </c>
      <c r="G234" s="13">
        <v>2457.4490760697099</v>
      </c>
      <c r="H234" s="8">
        <v>43634</v>
      </c>
      <c r="I234" s="14">
        <v>2041.9182000000001</v>
      </c>
      <c r="J234" s="8">
        <v>43702</v>
      </c>
    </row>
    <row r="235" spans="1:10" x14ac:dyDescent="0.25">
      <c r="A235" s="7">
        <v>232</v>
      </c>
      <c r="B235" s="8">
        <v>43702</v>
      </c>
      <c r="C235" s="9" t="s">
        <v>141</v>
      </c>
      <c r="D235" s="10" t="s">
        <v>24</v>
      </c>
      <c r="E235" s="15">
        <v>-17472.580843740001</v>
      </c>
      <c r="F235" s="16">
        <v>-8.6122999999999994</v>
      </c>
      <c r="G235" s="13">
        <v>2448.8367760697101</v>
      </c>
      <c r="H235" s="8">
        <v>43703</v>
      </c>
      <c r="I235" s="14">
        <v>2028.7937999999999</v>
      </c>
      <c r="J235" s="8">
        <v>43702</v>
      </c>
    </row>
    <row r="236" spans="1:10" x14ac:dyDescent="0.25">
      <c r="A236" s="7">
        <v>233</v>
      </c>
      <c r="B236" s="8">
        <v>43702</v>
      </c>
      <c r="C236" s="9" t="s">
        <v>142</v>
      </c>
      <c r="D236" s="10" t="s">
        <v>24</v>
      </c>
      <c r="E236" s="15">
        <v>-12673.06335108</v>
      </c>
      <c r="F236" s="16">
        <v>-6.2465999999999999</v>
      </c>
      <c r="G236" s="13">
        <v>2442.5901760697102</v>
      </c>
      <c r="H236" s="8">
        <v>43703</v>
      </c>
      <c r="I236" s="14">
        <v>2028.7937999999999</v>
      </c>
      <c r="J236" s="8">
        <v>43702</v>
      </c>
    </row>
    <row r="237" spans="1:10" x14ac:dyDescent="0.25">
      <c r="A237" s="7">
        <v>234</v>
      </c>
      <c r="B237" s="8">
        <v>43733</v>
      </c>
      <c r="C237" s="9" t="s">
        <v>143</v>
      </c>
      <c r="D237" s="10" t="s">
        <v>21</v>
      </c>
      <c r="E237" s="11">
        <v>100000.08793035</v>
      </c>
      <c r="F237" s="12">
        <v>48.728700000000003</v>
      </c>
      <c r="G237" s="13">
        <v>2491.3188760697099</v>
      </c>
      <c r="H237" s="8">
        <v>43663</v>
      </c>
      <c r="I237" s="14">
        <v>2052.1804999999999</v>
      </c>
      <c r="J237" s="8">
        <v>43733</v>
      </c>
    </row>
    <row r="238" spans="1:10" x14ac:dyDescent="0.25">
      <c r="A238" s="7">
        <v>235</v>
      </c>
      <c r="B238" s="8">
        <v>43733</v>
      </c>
      <c r="C238" s="9" t="s">
        <v>144</v>
      </c>
      <c r="D238" s="10" t="s">
        <v>21</v>
      </c>
      <c r="E238" s="11">
        <v>47499.975071050001</v>
      </c>
      <c r="F238" s="12">
        <v>23.146100000000001</v>
      </c>
      <c r="G238" s="13">
        <v>2514.4649760697098</v>
      </c>
      <c r="H238" s="8">
        <v>43663</v>
      </c>
      <c r="I238" s="14">
        <v>2052.1804999999999</v>
      </c>
      <c r="J238" s="8">
        <v>43733</v>
      </c>
    </row>
    <row r="239" spans="1:10" x14ac:dyDescent="0.25">
      <c r="A239" s="7">
        <v>236</v>
      </c>
      <c r="B239" s="8">
        <v>43733</v>
      </c>
      <c r="C239" s="9" t="s">
        <v>145</v>
      </c>
      <c r="D239" s="10" t="s">
        <v>24</v>
      </c>
      <c r="E239" s="15">
        <v>-9582.4307814000003</v>
      </c>
      <c r="F239" s="16">
        <v>-4.7451999999999996</v>
      </c>
      <c r="G239" s="13">
        <v>2509.71977606971</v>
      </c>
      <c r="H239" s="8">
        <v>43733</v>
      </c>
      <c r="I239" s="14">
        <v>2019.3945000000001</v>
      </c>
      <c r="J239" s="8">
        <v>43733</v>
      </c>
    </row>
    <row r="240" spans="1:10" x14ac:dyDescent="0.25">
      <c r="A240" s="7">
        <v>237</v>
      </c>
      <c r="B240" s="8">
        <v>43733</v>
      </c>
      <c r="C240" s="9" t="s">
        <v>146</v>
      </c>
      <c r="D240" s="10" t="s">
        <v>24</v>
      </c>
      <c r="E240" s="15">
        <v>-12774.689607</v>
      </c>
      <c r="F240" s="16">
        <v>-6.3259999999999996</v>
      </c>
      <c r="G240" s="13">
        <v>2503.3937760697099</v>
      </c>
      <c r="H240" s="8">
        <v>43733</v>
      </c>
      <c r="I240" s="14">
        <v>2019.3945000000001</v>
      </c>
      <c r="J240" s="8">
        <v>43733</v>
      </c>
    </row>
    <row r="241" spans="1:10" x14ac:dyDescent="0.25">
      <c r="A241" s="7">
        <v>238</v>
      </c>
      <c r="B241" s="8">
        <v>43763</v>
      </c>
      <c r="C241" s="9" t="s">
        <v>143</v>
      </c>
      <c r="D241" s="10" t="s">
        <v>21</v>
      </c>
      <c r="E241" s="11">
        <v>100000.09039416</v>
      </c>
      <c r="F241" s="12">
        <v>49.089199999999998</v>
      </c>
      <c r="G241" s="13">
        <v>2552.4829760697098</v>
      </c>
      <c r="H241" s="8">
        <v>43697</v>
      </c>
      <c r="I241" s="14">
        <v>2037.1098</v>
      </c>
      <c r="J241" s="8">
        <v>43763</v>
      </c>
    </row>
    <row r="242" spans="1:10" x14ac:dyDescent="0.25">
      <c r="A242" s="7">
        <v>239</v>
      </c>
      <c r="B242" s="8">
        <v>43763</v>
      </c>
      <c r="C242" s="9" t="s">
        <v>144</v>
      </c>
      <c r="D242" s="10" t="s">
        <v>21</v>
      </c>
      <c r="E242" s="11">
        <v>47499.90033954</v>
      </c>
      <c r="F242" s="12">
        <v>23.317299999999999</v>
      </c>
      <c r="G242" s="13">
        <v>2575.80027606971</v>
      </c>
      <c r="H242" s="8">
        <v>43697</v>
      </c>
      <c r="I242" s="14">
        <v>2037.1098</v>
      </c>
      <c r="J242" s="8">
        <v>43763</v>
      </c>
    </row>
    <row r="243" spans="1:10" x14ac:dyDescent="0.25">
      <c r="A243" s="7">
        <v>240</v>
      </c>
      <c r="B243" s="8">
        <v>43763</v>
      </c>
      <c r="C243" s="9" t="s">
        <v>147</v>
      </c>
      <c r="D243" s="10" t="s">
        <v>24</v>
      </c>
      <c r="E243" s="15">
        <v>-9523.9280287799993</v>
      </c>
      <c r="F243" s="16">
        <v>-4.7222999999999997</v>
      </c>
      <c r="G243" s="13">
        <v>2571.0779760697101</v>
      </c>
      <c r="H243" s="8">
        <v>43763</v>
      </c>
      <c r="I243" s="14">
        <v>2016.7986000000001</v>
      </c>
      <c r="J243" s="8">
        <v>43763</v>
      </c>
    </row>
    <row r="244" spans="1:10" x14ac:dyDescent="0.25">
      <c r="A244" s="7">
        <v>241</v>
      </c>
      <c r="B244" s="8">
        <v>43763</v>
      </c>
      <c r="C244" s="9" t="s">
        <v>148</v>
      </c>
      <c r="D244" s="10" t="s">
        <v>24</v>
      </c>
      <c r="E244" s="15">
        <v>-12696.55390644</v>
      </c>
      <c r="F244" s="16">
        <v>-6.2953999999999999</v>
      </c>
      <c r="G244" s="13">
        <v>2564.7825760697101</v>
      </c>
      <c r="H244" s="8">
        <v>43763</v>
      </c>
      <c r="I244" s="14">
        <v>2016.7986000000001</v>
      </c>
      <c r="J244" s="8">
        <v>43763</v>
      </c>
    </row>
    <row r="245" spans="1:10" x14ac:dyDescent="0.25">
      <c r="A245" s="7">
        <v>242</v>
      </c>
      <c r="B245" s="8">
        <v>43794</v>
      </c>
      <c r="C245" s="9" t="s">
        <v>143</v>
      </c>
      <c r="D245" s="10" t="s">
        <v>21</v>
      </c>
      <c r="E245" s="11">
        <v>100000.05916992</v>
      </c>
      <c r="F245" s="12">
        <v>49.016100000000002</v>
      </c>
      <c r="G245" s="13">
        <v>2613.7986760697099</v>
      </c>
      <c r="H245" s="8">
        <v>43725</v>
      </c>
      <c r="I245" s="14">
        <v>2040.1472000000001</v>
      </c>
      <c r="J245" s="8">
        <v>43794</v>
      </c>
    </row>
    <row r="246" spans="1:10" x14ac:dyDescent="0.25">
      <c r="A246" s="7">
        <v>243</v>
      </c>
      <c r="B246" s="8">
        <v>43794</v>
      </c>
      <c r="C246" s="9" t="s">
        <v>144</v>
      </c>
      <c r="D246" s="10" t="s">
        <v>21</v>
      </c>
      <c r="E246" s="11">
        <v>47499.931198719998</v>
      </c>
      <c r="F246" s="12">
        <v>23.282599999999999</v>
      </c>
      <c r="G246" s="13">
        <v>2637.0812760697099</v>
      </c>
      <c r="H246" s="8">
        <v>43725</v>
      </c>
      <c r="I246" s="14">
        <v>2040.1472000000001</v>
      </c>
      <c r="J246" s="8">
        <v>43794</v>
      </c>
    </row>
    <row r="247" spans="1:10" x14ac:dyDescent="0.25">
      <c r="A247" s="7">
        <v>244</v>
      </c>
      <c r="B247" s="8">
        <v>43794</v>
      </c>
      <c r="C247" s="9" t="s">
        <v>149</v>
      </c>
      <c r="D247" s="10" t="s">
        <v>24</v>
      </c>
      <c r="E247" s="15">
        <v>-9373.79698689</v>
      </c>
      <c r="F247" s="16">
        <v>-4.8489000000000004</v>
      </c>
      <c r="G247" s="13">
        <v>2632.23237606971</v>
      </c>
      <c r="H247" s="8">
        <v>43795</v>
      </c>
      <c r="I247" s="14">
        <v>1933.1801</v>
      </c>
      <c r="J247" s="8">
        <v>43794</v>
      </c>
    </row>
    <row r="248" spans="1:10" x14ac:dyDescent="0.25">
      <c r="A248" s="7">
        <v>245</v>
      </c>
      <c r="B248" s="8">
        <v>43794</v>
      </c>
      <c r="C248" s="9" t="s">
        <v>150</v>
      </c>
      <c r="D248" s="10" t="s">
        <v>24</v>
      </c>
      <c r="E248" s="15">
        <v>-12496.462802419999</v>
      </c>
      <c r="F248" s="16">
        <v>-6.4641999999999999</v>
      </c>
      <c r="G248" s="13">
        <v>2625.7681760697101</v>
      </c>
      <c r="H248" s="8">
        <v>43795</v>
      </c>
      <c r="I248" s="14">
        <v>1933.1801</v>
      </c>
      <c r="J248" s="8">
        <v>43794</v>
      </c>
    </row>
    <row r="249" spans="1:10" x14ac:dyDescent="0.25">
      <c r="A249" s="7">
        <v>246</v>
      </c>
      <c r="B249" s="8">
        <v>43824</v>
      </c>
      <c r="C249" s="9" t="s">
        <v>143</v>
      </c>
      <c r="D249" s="10" t="s">
        <v>21</v>
      </c>
      <c r="E249" s="11">
        <v>99999.978535360002</v>
      </c>
      <c r="F249" s="12">
        <v>50.614400000000003</v>
      </c>
      <c r="G249" s="13">
        <v>2676.38257606971</v>
      </c>
      <c r="H249" s="8">
        <v>43808</v>
      </c>
      <c r="I249" s="14">
        <v>1975.7219</v>
      </c>
      <c r="J249" s="8">
        <v>43824</v>
      </c>
    </row>
    <row r="250" spans="1:10" x14ac:dyDescent="0.25">
      <c r="A250" s="7">
        <v>247</v>
      </c>
      <c r="B250" s="8">
        <v>43824</v>
      </c>
      <c r="C250" s="9" t="s">
        <v>144</v>
      </c>
      <c r="D250" s="10" t="s">
        <v>21</v>
      </c>
      <c r="E250" s="11">
        <v>47499.910775420001</v>
      </c>
      <c r="F250" s="12">
        <v>24.041799999999999</v>
      </c>
      <c r="G250" s="13">
        <v>2700.42437606971</v>
      </c>
      <c r="H250" s="8">
        <v>43808</v>
      </c>
      <c r="I250" s="14">
        <v>1975.7219</v>
      </c>
      <c r="J250" s="8">
        <v>43824</v>
      </c>
    </row>
    <row r="251" spans="1:10" x14ac:dyDescent="0.25">
      <c r="A251" s="7">
        <v>248</v>
      </c>
      <c r="B251" s="8">
        <v>43824</v>
      </c>
      <c r="C251" s="9" t="s">
        <v>151</v>
      </c>
      <c r="D251" s="10" t="s">
        <v>24</v>
      </c>
      <c r="E251" s="15">
        <v>-9377.8070229599998</v>
      </c>
      <c r="F251" s="16">
        <v>-4.7313999999999998</v>
      </c>
      <c r="G251" s="13">
        <v>2695.6929760697099</v>
      </c>
      <c r="H251" s="8">
        <v>43825</v>
      </c>
      <c r="I251" s="14">
        <v>1982.0364</v>
      </c>
      <c r="J251" s="8">
        <v>43824</v>
      </c>
    </row>
    <row r="252" spans="1:10" x14ac:dyDescent="0.25">
      <c r="A252" s="7">
        <v>249</v>
      </c>
      <c r="B252" s="8">
        <v>43824</v>
      </c>
      <c r="C252" s="9" t="s">
        <v>152</v>
      </c>
      <c r="D252" s="10" t="s">
        <v>24</v>
      </c>
      <c r="E252" s="15">
        <v>-12501.694593</v>
      </c>
      <c r="F252" s="16">
        <v>-6.3075000000000001</v>
      </c>
      <c r="G252" s="13">
        <v>2689.38547606971</v>
      </c>
      <c r="H252" s="8">
        <v>43825</v>
      </c>
      <c r="I252" s="14">
        <v>1982.0364</v>
      </c>
      <c r="J252" s="8">
        <v>43824</v>
      </c>
    </row>
    <row r="253" spans="1:10" x14ac:dyDescent="0.25">
      <c r="A253" s="7">
        <v>250</v>
      </c>
      <c r="B253" s="8">
        <v>43855</v>
      </c>
      <c r="C253" s="9" t="s">
        <v>143</v>
      </c>
      <c r="D253" s="10" t="s">
        <v>21</v>
      </c>
      <c r="E253" s="11">
        <v>99999.978535360002</v>
      </c>
      <c r="F253" s="12">
        <v>50.614400000000003</v>
      </c>
      <c r="G253" s="13">
        <v>2739.9998760697099</v>
      </c>
      <c r="H253" s="8">
        <v>43808</v>
      </c>
      <c r="I253" s="14">
        <v>1975.7219</v>
      </c>
      <c r="J253" s="8">
        <v>43855</v>
      </c>
    </row>
    <row r="254" spans="1:10" x14ac:dyDescent="0.25">
      <c r="A254" s="7">
        <v>251</v>
      </c>
      <c r="B254" s="8">
        <v>43855</v>
      </c>
      <c r="C254" s="9" t="s">
        <v>144</v>
      </c>
      <c r="D254" s="10" t="s">
        <v>21</v>
      </c>
      <c r="E254" s="11">
        <v>47499.910775420001</v>
      </c>
      <c r="F254" s="12">
        <v>24.041799999999999</v>
      </c>
      <c r="G254" s="13">
        <v>2764.0416760697099</v>
      </c>
      <c r="H254" s="8">
        <v>43808</v>
      </c>
      <c r="I254" s="14">
        <v>1975.7219</v>
      </c>
      <c r="J254" s="8">
        <v>43855</v>
      </c>
    </row>
    <row r="255" spans="1:10" x14ac:dyDescent="0.25">
      <c r="A255" s="7">
        <v>252</v>
      </c>
      <c r="B255" s="8">
        <v>43855</v>
      </c>
      <c r="C255" s="9" t="s">
        <v>153</v>
      </c>
      <c r="D255" s="10" t="s">
        <v>24</v>
      </c>
      <c r="E255" s="15">
        <v>-9244.6213201600003</v>
      </c>
      <c r="F255" s="16">
        <v>-4.8426999999999998</v>
      </c>
      <c r="G255" s="13">
        <v>2759.1989760697102</v>
      </c>
      <c r="H255" s="8">
        <v>43857</v>
      </c>
      <c r="I255" s="14">
        <v>1908.9808</v>
      </c>
      <c r="J255" s="8">
        <v>43855</v>
      </c>
    </row>
    <row r="256" spans="1:10" x14ac:dyDescent="0.25">
      <c r="A256" s="7">
        <v>253</v>
      </c>
      <c r="B256" s="8">
        <v>43855</v>
      </c>
      <c r="C256" s="9" t="s">
        <v>154</v>
      </c>
      <c r="D256" s="10" t="s">
        <v>24</v>
      </c>
      <c r="E256" s="15">
        <v>-12324.18914672</v>
      </c>
      <c r="F256" s="16">
        <v>-6.4558999999999997</v>
      </c>
      <c r="G256" s="13">
        <v>2752.7430760697098</v>
      </c>
      <c r="H256" s="8">
        <v>43857</v>
      </c>
      <c r="I256" s="14">
        <v>1908.9808</v>
      </c>
      <c r="J256" s="8">
        <v>43855</v>
      </c>
    </row>
    <row r="257" spans="1:10" x14ac:dyDescent="0.25">
      <c r="A257" s="7">
        <v>254</v>
      </c>
      <c r="B257" s="8">
        <v>43886</v>
      </c>
      <c r="C257" s="9" t="s">
        <v>143</v>
      </c>
      <c r="D257" s="10" t="s">
        <v>21</v>
      </c>
      <c r="E257" s="11">
        <v>100000.05867665001</v>
      </c>
      <c r="F257" s="12">
        <v>50.739699999999999</v>
      </c>
      <c r="G257" s="13">
        <v>2803.4827760697099</v>
      </c>
      <c r="H257" s="8">
        <v>43817</v>
      </c>
      <c r="I257" s="14">
        <v>1970.8444999999999</v>
      </c>
      <c r="J257" s="8">
        <v>43886</v>
      </c>
    </row>
    <row r="258" spans="1:10" x14ac:dyDescent="0.25">
      <c r="A258" s="7">
        <v>255</v>
      </c>
      <c r="B258" s="8">
        <v>43886</v>
      </c>
      <c r="C258" s="9" t="s">
        <v>144</v>
      </c>
      <c r="D258" s="10" t="s">
        <v>21</v>
      </c>
      <c r="E258" s="11">
        <v>47499.91454785</v>
      </c>
      <c r="F258" s="12">
        <v>24.101299999999998</v>
      </c>
      <c r="G258" s="13">
        <v>2827.5840760697101</v>
      </c>
      <c r="H258" s="8">
        <v>43817</v>
      </c>
      <c r="I258" s="14">
        <v>1970.8444999999999</v>
      </c>
      <c r="J258" s="8">
        <v>43886</v>
      </c>
    </row>
    <row r="259" spans="1:10" x14ac:dyDescent="0.25">
      <c r="A259" s="7">
        <v>256</v>
      </c>
      <c r="B259" s="8">
        <v>43886</v>
      </c>
      <c r="C259" s="9" t="s">
        <v>155</v>
      </c>
      <c r="D259" s="10" t="s">
        <v>24</v>
      </c>
      <c r="E259" s="15">
        <v>-8791.1270101600003</v>
      </c>
      <c r="F259" s="16">
        <v>-5.0026000000000002</v>
      </c>
      <c r="G259" s="13">
        <v>2822.5814760697099</v>
      </c>
      <c r="H259" s="8">
        <v>43886</v>
      </c>
      <c r="I259" s="14">
        <v>1757.3116</v>
      </c>
      <c r="J259" s="8">
        <v>43886</v>
      </c>
    </row>
    <row r="260" spans="1:10" x14ac:dyDescent="0.25">
      <c r="A260" s="7">
        <v>257</v>
      </c>
      <c r="B260" s="8">
        <v>43886</v>
      </c>
      <c r="C260" s="9" t="s">
        <v>156</v>
      </c>
      <c r="D260" s="10" t="s">
        <v>24</v>
      </c>
      <c r="E260" s="15">
        <v>-11719.5110604</v>
      </c>
      <c r="F260" s="16">
        <v>-6.6689999999999996</v>
      </c>
      <c r="G260" s="13">
        <v>2815.91247606971</v>
      </c>
      <c r="H260" s="8">
        <v>43886</v>
      </c>
      <c r="I260" s="14">
        <v>1757.3116</v>
      </c>
      <c r="J260" s="8">
        <v>43886</v>
      </c>
    </row>
    <row r="261" spans="1:10" x14ac:dyDescent="0.25">
      <c r="A261" s="7">
        <v>258</v>
      </c>
      <c r="B261" s="8">
        <v>43915</v>
      </c>
      <c r="C261" s="9" t="s">
        <v>143</v>
      </c>
      <c r="D261" s="10" t="s">
        <v>21</v>
      </c>
      <c r="E261" s="11">
        <v>99999.9441792</v>
      </c>
      <c r="F261" s="12">
        <v>50.752000000000002</v>
      </c>
      <c r="G261" s="13">
        <v>2866.66447606971</v>
      </c>
      <c r="H261" s="8">
        <v>43847</v>
      </c>
      <c r="I261" s="14">
        <v>1970.3646000000001</v>
      </c>
      <c r="J261" s="8">
        <v>43915</v>
      </c>
    </row>
    <row r="262" spans="1:10" x14ac:dyDescent="0.25">
      <c r="A262" s="7">
        <v>259</v>
      </c>
      <c r="B262" s="8">
        <v>43915</v>
      </c>
      <c r="C262" s="9" t="s">
        <v>144</v>
      </c>
      <c r="D262" s="10" t="s">
        <v>21</v>
      </c>
      <c r="E262" s="11">
        <v>47499.973485119997</v>
      </c>
      <c r="F262" s="12">
        <v>24.107199999999999</v>
      </c>
      <c r="G262" s="13">
        <v>2890.7716760697099</v>
      </c>
      <c r="H262" s="8">
        <v>43847</v>
      </c>
      <c r="I262" s="14">
        <v>1970.3646000000001</v>
      </c>
      <c r="J262" s="8">
        <v>43915</v>
      </c>
    </row>
    <row r="263" spans="1:10" x14ac:dyDescent="0.25">
      <c r="A263" s="7">
        <v>260</v>
      </c>
      <c r="B263" s="8">
        <v>43915</v>
      </c>
      <c r="C263" s="9" t="s">
        <v>157</v>
      </c>
      <c r="D263" s="10" t="s">
        <v>24</v>
      </c>
      <c r="E263" s="15">
        <v>-7154.5044315499999</v>
      </c>
      <c r="F263" s="16">
        <v>-5.3605</v>
      </c>
      <c r="G263" s="13">
        <v>2885.4111760697101</v>
      </c>
      <c r="H263" s="8">
        <v>43916</v>
      </c>
      <c r="I263" s="14">
        <v>1334.6711</v>
      </c>
      <c r="J263" s="8">
        <v>43915</v>
      </c>
    </row>
    <row r="264" spans="1:10" x14ac:dyDescent="0.25">
      <c r="A264" s="7">
        <v>261</v>
      </c>
      <c r="B264" s="8">
        <v>43915</v>
      </c>
      <c r="C264" s="9" t="s">
        <v>158</v>
      </c>
      <c r="D264" s="10" t="s">
        <v>24</v>
      </c>
      <c r="E264" s="15">
        <v>-9537.82661482</v>
      </c>
      <c r="F264" s="16">
        <v>-7.1462000000000003</v>
      </c>
      <c r="G264" s="13">
        <v>2878.26497606971</v>
      </c>
      <c r="H264" s="8">
        <v>43916</v>
      </c>
      <c r="I264" s="14">
        <v>1334.6711</v>
      </c>
      <c r="J264" s="8">
        <v>43915</v>
      </c>
    </row>
    <row r="265" spans="1:10" x14ac:dyDescent="0.25">
      <c r="A265" s="7">
        <v>262</v>
      </c>
      <c r="B265" s="8">
        <v>43946</v>
      </c>
      <c r="C265" s="9" t="s">
        <v>143</v>
      </c>
      <c r="D265" s="10" t="s">
        <v>21</v>
      </c>
      <c r="E265" s="11">
        <v>99999.920114680004</v>
      </c>
      <c r="F265" s="12">
        <v>55.692399999999999</v>
      </c>
      <c r="G265" s="13">
        <v>2933.9573760697099</v>
      </c>
      <c r="H265" s="8">
        <v>43879</v>
      </c>
      <c r="I265" s="14">
        <v>1795.5757000000001</v>
      </c>
      <c r="J265" s="8">
        <v>43946</v>
      </c>
    </row>
    <row r="266" spans="1:10" x14ac:dyDescent="0.25">
      <c r="A266" s="7">
        <v>263</v>
      </c>
      <c r="B266" s="8">
        <v>43946</v>
      </c>
      <c r="C266" s="9" t="s">
        <v>144</v>
      </c>
      <c r="D266" s="10" t="s">
        <v>21</v>
      </c>
      <c r="E266" s="11">
        <v>47499.98001023</v>
      </c>
      <c r="F266" s="12">
        <v>26.453900000000001</v>
      </c>
      <c r="G266" s="13">
        <v>2960.4112760697099</v>
      </c>
      <c r="H266" s="8">
        <v>43879</v>
      </c>
      <c r="I266" s="14">
        <v>1795.5757000000001</v>
      </c>
      <c r="J266" s="8">
        <v>43946</v>
      </c>
    </row>
    <row r="267" spans="1:10" x14ac:dyDescent="0.25">
      <c r="A267" s="7">
        <v>264</v>
      </c>
      <c r="B267" s="8">
        <v>43946</v>
      </c>
      <c r="C267" s="9" t="s">
        <v>159</v>
      </c>
      <c r="D267" s="10" t="s">
        <v>24</v>
      </c>
      <c r="E267" s="15">
        <v>-8170.4671806899996</v>
      </c>
      <c r="F267" s="16">
        <v>-5.5328999999999997</v>
      </c>
      <c r="G267" s="13">
        <v>2954.8783760697102</v>
      </c>
      <c r="H267" s="8">
        <v>43948</v>
      </c>
      <c r="I267" s="14">
        <v>1476.7061000000001</v>
      </c>
      <c r="J267" s="8">
        <v>43946</v>
      </c>
    </row>
    <row r="268" spans="1:10" x14ac:dyDescent="0.25">
      <c r="A268" s="7">
        <v>265</v>
      </c>
      <c r="B268" s="8">
        <v>43946</v>
      </c>
      <c r="C268" s="9" t="s">
        <v>160</v>
      </c>
      <c r="D268" s="10" t="s">
        <v>24</v>
      </c>
      <c r="E268" s="15">
        <v>-10892.1841936</v>
      </c>
      <c r="F268" s="16">
        <v>-7.3760000000000003</v>
      </c>
      <c r="G268" s="13">
        <v>2947.50237606971</v>
      </c>
      <c r="H268" s="8">
        <v>43948</v>
      </c>
      <c r="I268" s="14">
        <v>1476.7061000000001</v>
      </c>
      <c r="J268" s="8">
        <v>43946</v>
      </c>
    </row>
    <row r="269" spans="1:10" x14ac:dyDescent="0.25">
      <c r="A269" s="7">
        <v>266</v>
      </c>
      <c r="B269" s="8">
        <v>43976</v>
      </c>
      <c r="C269" s="9" t="s">
        <v>143</v>
      </c>
      <c r="D269" s="10" t="s">
        <v>21</v>
      </c>
      <c r="E269" s="11">
        <v>99999.971928090003</v>
      </c>
      <c r="F269" s="12">
        <v>76.700699999999998</v>
      </c>
      <c r="G269" s="13">
        <v>3024.2030760697098</v>
      </c>
      <c r="H269" s="8">
        <v>43908</v>
      </c>
      <c r="I269" s="14">
        <v>1303.7687000000001</v>
      </c>
      <c r="J269" s="8">
        <v>43976</v>
      </c>
    </row>
    <row r="270" spans="1:10" x14ac:dyDescent="0.25">
      <c r="A270" s="7">
        <v>267</v>
      </c>
      <c r="B270" s="8">
        <v>43976</v>
      </c>
      <c r="C270" s="9" t="s">
        <v>144</v>
      </c>
      <c r="D270" s="10" t="s">
        <v>21</v>
      </c>
      <c r="E270" s="11">
        <v>47499.94429336</v>
      </c>
      <c r="F270" s="12">
        <v>36.4328</v>
      </c>
      <c r="G270" s="13">
        <v>3060.6358760697099</v>
      </c>
      <c r="H270" s="8">
        <v>43908</v>
      </c>
      <c r="I270" s="14">
        <v>1303.7687000000001</v>
      </c>
      <c r="J270" s="8">
        <v>43976</v>
      </c>
    </row>
    <row r="271" spans="1:10" x14ac:dyDescent="0.25">
      <c r="A271" s="7">
        <v>268</v>
      </c>
      <c r="B271" s="8">
        <v>43976</v>
      </c>
      <c r="C271" s="9" t="s">
        <v>161</v>
      </c>
      <c r="D271" s="10" t="s">
        <v>24</v>
      </c>
      <c r="E271" s="15">
        <v>-8238.6265043399999</v>
      </c>
      <c r="F271" s="16">
        <v>-5.3891</v>
      </c>
      <c r="G271" s="13">
        <v>3055.24677606971</v>
      </c>
      <c r="H271" s="8">
        <v>43977</v>
      </c>
      <c r="I271" s="14">
        <v>1528.7574</v>
      </c>
      <c r="J271" s="8">
        <v>43976</v>
      </c>
    </row>
    <row r="272" spans="1:10" x14ac:dyDescent="0.25">
      <c r="A272" s="7">
        <v>269</v>
      </c>
      <c r="B272" s="8">
        <v>43976</v>
      </c>
      <c r="C272" s="9" t="s">
        <v>162</v>
      </c>
      <c r="D272" s="10" t="s">
        <v>24</v>
      </c>
      <c r="E272" s="15">
        <v>-10983.20466456</v>
      </c>
      <c r="F272" s="16">
        <v>-7.1844000000000001</v>
      </c>
      <c r="G272" s="13">
        <v>3048.0623760697099</v>
      </c>
      <c r="H272" s="8">
        <v>43977</v>
      </c>
      <c r="I272" s="14">
        <v>1528.7574</v>
      </c>
      <c r="J272" s="8">
        <v>43976</v>
      </c>
    </row>
    <row r="273" spans="1:10" x14ac:dyDescent="0.25">
      <c r="A273" s="7">
        <v>270</v>
      </c>
      <c r="B273" s="8">
        <v>44007</v>
      </c>
      <c r="C273" s="9" t="s">
        <v>143</v>
      </c>
      <c r="D273" s="10" t="s">
        <v>21</v>
      </c>
      <c r="E273" s="11">
        <v>100000.06663428</v>
      </c>
      <c r="F273" s="12">
        <v>68.253299999999996</v>
      </c>
      <c r="G273" s="13">
        <v>3116.3156760697102</v>
      </c>
      <c r="H273" s="8">
        <v>43943</v>
      </c>
      <c r="I273" s="14">
        <v>1465.1315999999999</v>
      </c>
      <c r="J273" s="8">
        <v>44007</v>
      </c>
    </row>
    <row r="274" spans="1:10" x14ac:dyDescent="0.25">
      <c r="A274" s="7">
        <v>271</v>
      </c>
      <c r="B274" s="8">
        <v>44007</v>
      </c>
      <c r="C274" s="9" t="s">
        <v>144</v>
      </c>
      <c r="D274" s="10" t="s">
        <v>21</v>
      </c>
      <c r="E274" s="11">
        <v>47500.00601148</v>
      </c>
      <c r="F274" s="12">
        <v>32.420299999999997</v>
      </c>
      <c r="G274" s="13">
        <v>3148.73597606971</v>
      </c>
      <c r="H274" s="8">
        <v>43943</v>
      </c>
      <c r="I274" s="14">
        <v>1465.1315999999999</v>
      </c>
      <c r="J274" s="8">
        <v>44007</v>
      </c>
    </row>
    <row r="275" spans="1:10" x14ac:dyDescent="0.25">
      <c r="A275" s="7">
        <v>272</v>
      </c>
      <c r="B275" s="8">
        <v>44007</v>
      </c>
      <c r="C275" s="9" t="s">
        <v>163</v>
      </c>
      <c r="D275" s="10" t="s">
        <v>24</v>
      </c>
      <c r="E275" s="15">
        <v>-8317.6029204000006</v>
      </c>
      <c r="F275" s="16">
        <v>-5.2813999999999997</v>
      </c>
      <c r="G275" s="13">
        <v>3143.4545760697101</v>
      </c>
      <c r="H275" s="8">
        <v>44007</v>
      </c>
      <c r="I275" s="14">
        <v>1574.886</v>
      </c>
      <c r="J275" s="8">
        <v>44007</v>
      </c>
    </row>
    <row r="276" spans="1:10" x14ac:dyDescent="0.25">
      <c r="A276" s="7">
        <v>273</v>
      </c>
      <c r="B276" s="8">
        <v>44007</v>
      </c>
      <c r="C276" s="9" t="s">
        <v>164</v>
      </c>
      <c r="D276" s="10" t="s">
        <v>24</v>
      </c>
      <c r="E276" s="15">
        <v>-11088.457348800001</v>
      </c>
      <c r="F276" s="16">
        <v>-7.0407999999999999</v>
      </c>
      <c r="G276" s="13">
        <v>3136.4137760697099</v>
      </c>
      <c r="H276" s="8">
        <v>44007</v>
      </c>
      <c r="I276" s="14">
        <v>1574.886</v>
      </c>
      <c r="J276" s="8">
        <v>44007</v>
      </c>
    </row>
    <row r="277" spans="1:10" x14ac:dyDescent="0.25">
      <c r="A277" s="7">
        <v>274</v>
      </c>
      <c r="B277" s="8">
        <v>44037</v>
      </c>
      <c r="C277" s="9" t="s">
        <v>143</v>
      </c>
      <c r="D277" s="10" t="s">
        <v>21</v>
      </c>
      <c r="E277" s="11">
        <v>100000.02684209999</v>
      </c>
      <c r="F277" s="12">
        <v>65.789500000000004</v>
      </c>
      <c r="G277" s="13">
        <v>3202.2032760697098</v>
      </c>
      <c r="H277" s="8">
        <v>43969</v>
      </c>
      <c r="I277" s="14">
        <v>1519.9998000000001</v>
      </c>
      <c r="J277" s="8">
        <v>44037</v>
      </c>
    </row>
    <row r="278" spans="1:10" x14ac:dyDescent="0.25">
      <c r="A278" s="7">
        <v>275</v>
      </c>
      <c r="B278" s="8">
        <v>44037</v>
      </c>
      <c r="C278" s="9" t="s">
        <v>144</v>
      </c>
      <c r="D278" s="10" t="s">
        <v>21</v>
      </c>
      <c r="E278" s="11">
        <v>47499.993750000001</v>
      </c>
      <c r="F278" s="12">
        <v>31.25</v>
      </c>
      <c r="G278" s="13">
        <v>3233.4532760697098</v>
      </c>
      <c r="H278" s="8">
        <v>43969</v>
      </c>
      <c r="I278" s="14">
        <v>1519.9998000000001</v>
      </c>
      <c r="J278" s="8">
        <v>44037</v>
      </c>
    </row>
    <row r="279" spans="1:10" x14ac:dyDescent="0.25">
      <c r="A279" s="7">
        <v>276</v>
      </c>
      <c r="B279" s="8">
        <v>44037</v>
      </c>
      <c r="C279" s="9" t="s">
        <v>165</v>
      </c>
      <c r="D279" s="10" t="s">
        <v>24</v>
      </c>
      <c r="E279" s="15">
        <v>-8535.6387562799991</v>
      </c>
      <c r="F279" s="16">
        <v>-5.1764000000000001</v>
      </c>
      <c r="G279" s="13">
        <v>3228.2768760697099</v>
      </c>
      <c r="H279" s="8">
        <v>44039</v>
      </c>
      <c r="I279" s="14">
        <v>1648.9527</v>
      </c>
      <c r="J279" s="8">
        <v>44037</v>
      </c>
    </row>
    <row r="280" spans="1:10" x14ac:dyDescent="0.25">
      <c r="A280" s="7">
        <v>277</v>
      </c>
      <c r="B280" s="8">
        <v>44037</v>
      </c>
      <c r="C280" s="9" t="s">
        <v>166</v>
      </c>
      <c r="D280" s="10" t="s">
        <v>24</v>
      </c>
      <c r="E280" s="15">
        <v>-11378.92789689</v>
      </c>
      <c r="F280" s="16">
        <v>-6.9006999999999996</v>
      </c>
      <c r="G280" s="13">
        <v>3221.3761760697098</v>
      </c>
      <c r="H280" s="8">
        <v>44039</v>
      </c>
      <c r="I280" s="14">
        <v>1648.9527</v>
      </c>
      <c r="J280" s="8">
        <v>44037</v>
      </c>
    </row>
    <row r="281" spans="1:10" x14ac:dyDescent="0.25">
      <c r="A281" s="7">
        <v>278</v>
      </c>
      <c r="B281" s="8">
        <v>44068</v>
      </c>
      <c r="C281" s="9" t="s">
        <v>143</v>
      </c>
      <c r="D281" s="10" t="s">
        <v>21</v>
      </c>
      <c r="E281" s="11">
        <v>100000.0430667</v>
      </c>
      <c r="F281" s="12">
        <v>63.441699999999997</v>
      </c>
      <c r="G281" s="13">
        <v>3284.8178760697101</v>
      </c>
      <c r="H281" s="8">
        <v>44005</v>
      </c>
      <c r="I281" s="14">
        <v>1576.251</v>
      </c>
      <c r="J281" s="8">
        <v>44068</v>
      </c>
    </row>
    <row r="282" spans="1:10" x14ac:dyDescent="0.25">
      <c r="A282" s="7">
        <v>279</v>
      </c>
      <c r="B282" s="8">
        <v>44068</v>
      </c>
      <c r="C282" s="9" t="s">
        <v>144</v>
      </c>
      <c r="D282" s="10" t="s">
        <v>21</v>
      </c>
      <c r="E282" s="11">
        <v>47500.008634799997</v>
      </c>
      <c r="F282" s="12">
        <v>30.134799999999998</v>
      </c>
      <c r="G282" s="13">
        <v>3314.9526760696999</v>
      </c>
      <c r="H282" s="8">
        <v>44005</v>
      </c>
      <c r="I282" s="14">
        <v>1576.251</v>
      </c>
      <c r="J282" s="8">
        <v>44068</v>
      </c>
    </row>
    <row r="283" spans="1:10" x14ac:dyDescent="0.25">
      <c r="A283" s="7">
        <v>280</v>
      </c>
      <c r="B283" s="8">
        <v>44068</v>
      </c>
      <c r="C283" s="9" t="s">
        <v>167</v>
      </c>
      <c r="D283" s="10" t="s">
        <v>24</v>
      </c>
      <c r="E283" s="15">
        <v>-8556.51069637</v>
      </c>
      <c r="F283" s="16">
        <v>-5.0609000000000002</v>
      </c>
      <c r="G283" s="13">
        <v>3309.89177606971</v>
      </c>
      <c r="H283" s="8">
        <v>44068</v>
      </c>
      <c r="I283" s="14">
        <v>1690.7093</v>
      </c>
      <c r="J283" s="8">
        <v>44068</v>
      </c>
    </row>
    <row r="284" spans="1:10" x14ac:dyDescent="0.25">
      <c r="A284" s="7">
        <v>281</v>
      </c>
      <c r="B284" s="8">
        <v>44068</v>
      </c>
      <c r="C284" s="9" t="s">
        <v>168</v>
      </c>
      <c r="D284" s="10" t="s">
        <v>24</v>
      </c>
      <c r="E284" s="15">
        <v>-11406.87750524</v>
      </c>
      <c r="F284" s="16">
        <v>-6.7468000000000004</v>
      </c>
      <c r="G284" s="13">
        <v>3303.1449760697101</v>
      </c>
      <c r="H284" s="8">
        <v>44068</v>
      </c>
      <c r="I284" s="14">
        <v>1690.7093</v>
      </c>
      <c r="J284" s="8">
        <v>44068</v>
      </c>
    </row>
    <row r="285" spans="1:10" x14ac:dyDescent="0.25">
      <c r="A285" s="7">
        <v>282</v>
      </c>
      <c r="B285" s="8">
        <v>44076</v>
      </c>
      <c r="C285" s="9" t="s">
        <v>169</v>
      </c>
      <c r="D285" s="10" t="s">
        <v>24</v>
      </c>
      <c r="E285" s="15">
        <v>-5761763.9248795398</v>
      </c>
      <c r="F285" s="16">
        <v>-3481.5754000000002</v>
      </c>
      <c r="G285" s="13">
        <v>-178.43042393029501</v>
      </c>
      <c r="H285" s="8">
        <v>44078</v>
      </c>
      <c r="I285" s="14">
        <v>1654.9301</v>
      </c>
      <c r="J285" s="8">
        <v>44076</v>
      </c>
    </row>
    <row r="286" spans="1:10" x14ac:dyDescent="0.25">
      <c r="A286" s="7">
        <v>283</v>
      </c>
      <c r="B286" s="8">
        <v>44099</v>
      </c>
      <c r="C286" s="9" t="s">
        <v>170</v>
      </c>
      <c r="D286" s="10" t="s">
        <v>21</v>
      </c>
      <c r="E286" s="11">
        <v>99999.967032569999</v>
      </c>
      <c r="F286" s="12">
        <v>61.319099999999999</v>
      </c>
      <c r="G286" s="13">
        <v>-117.111323930295</v>
      </c>
      <c r="H286" s="8">
        <v>44032</v>
      </c>
      <c r="I286" s="14">
        <v>1630.8126999999999</v>
      </c>
      <c r="J286" s="8">
        <v>44099</v>
      </c>
    </row>
    <row r="287" spans="1:10" x14ac:dyDescent="0.25">
      <c r="A287" s="7">
        <v>284</v>
      </c>
      <c r="B287" s="8">
        <v>44099</v>
      </c>
      <c r="C287" s="9" t="s">
        <v>171</v>
      </c>
      <c r="D287" s="10" t="s">
        <v>21</v>
      </c>
      <c r="E287" s="11">
        <v>47500.029187820001</v>
      </c>
      <c r="F287" s="12">
        <v>29.1266</v>
      </c>
      <c r="G287" s="13">
        <v>-87.984723930295104</v>
      </c>
      <c r="H287" s="8">
        <v>44032</v>
      </c>
      <c r="I287" s="14">
        <v>1630.8126999999999</v>
      </c>
      <c r="J287" s="8">
        <v>44099</v>
      </c>
    </row>
    <row r="288" spans="1:10" x14ac:dyDescent="0.25">
      <c r="A288" s="7">
        <v>285</v>
      </c>
      <c r="B288" s="8">
        <v>44129</v>
      </c>
      <c r="C288" s="9" t="s">
        <v>170</v>
      </c>
      <c r="D288" s="10" t="s">
        <v>21</v>
      </c>
      <c r="E288" s="11">
        <v>100000.03870428</v>
      </c>
      <c r="F288" s="12">
        <v>59.650799999999997</v>
      </c>
      <c r="G288" s="13">
        <v>-28.3339239302951</v>
      </c>
      <c r="H288" s="8">
        <v>44067</v>
      </c>
      <c r="I288" s="14">
        <v>1676.4241</v>
      </c>
      <c r="J288" s="8">
        <v>44129</v>
      </c>
    </row>
    <row r="289" spans="1:10" x14ac:dyDescent="0.25">
      <c r="A289" s="7">
        <v>286</v>
      </c>
      <c r="B289" s="8">
        <v>44129</v>
      </c>
      <c r="C289" s="9" t="s">
        <v>171</v>
      </c>
      <c r="D289" s="10" t="s">
        <v>21</v>
      </c>
      <c r="E289" s="11">
        <v>47499.968091809998</v>
      </c>
      <c r="F289" s="12">
        <v>28.334099999999999</v>
      </c>
      <c r="G289" s="13">
        <v>1.76069704892257E-4</v>
      </c>
      <c r="H289" s="8">
        <v>44067</v>
      </c>
      <c r="I289" s="14">
        <v>1676.4241</v>
      </c>
      <c r="J289" s="8">
        <v>44129</v>
      </c>
    </row>
    <row r="290" spans="1:10" ht="0" hidden="1" customHeight="1" x14ac:dyDescent="0.25"/>
  </sheetData>
  <mergeCells count="4">
    <mergeCell ref="A1:G1"/>
    <mergeCell ref="I1:K1"/>
    <mergeCell ref="A2:B2"/>
    <mergeCell ref="C2:H2"/>
  </mergeCells>
  <pageMargins left="1" right="1" top="1" bottom="1" header="1" footer="1"/>
  <pageSetup orientation="landscape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4"/>
  <sheetViews>
    <sheetView showGridLines="0" workbookViewId="0"/>
  </sheetViews>
  <sheetFormatPr defaultRowHeight="15" x14ac:dyDescent="0.25"/>
  <cols>
    <col min="1" max="1" width="5.42578125" customWidth="1"/>
    <col min="2" max="2" width="10.28515625" customWidth="1"/>
    <col min="3" max="3" width="31" customWidth="1"/>
    <col min="4" max="4" width="5" customWidth="1"/>
    <col min="5" max="5" width="14" customWidth="1"/>
    <col min="6" max="6" width="7.85546875" customWidth="1"/>
    <col min="7" max="7" width="10.28515625" customWidth="1"/>
    <col min="8" max="8" width="12.140625" customWidth="1"/>
    <col min="9" max="9" width="10.140625" customWidth="1"/>
    <col min="10" max="10" width="12" customWidth="1"/>
    <col min="11" max="11" width="0" hidden="1" customWidth="1"/>
  </cols>
  <sheetData>
    <row r="1" spans="1:11" ht="30.95" customHeight="1" x14ac:dyDescent="0.25">
      <c r="A1" s="20" t="s">
        <v>6</v>
      </c>
      <c r="B1" s="18"/>
      <c r="C1" s="18"/>
      <c r="D1" s="18"/>
      <c r="E1" s="18"/>
      <c r="F1" s="18"/>
      <c r="G1" s="18"/>
      <c r="H1" s="1" t="s">
        <v>7</v>
      </c>
      <c r="I1" s="18"/>
      <c r="J1" s="18"/>
      <c r="K1" s="18"/>
    </row>
    <row r="2" spans="1:11" x14ac:dyDescent="0.25">
      <c r="A2" s="21" t="s">
        <v>8</v>
      </c>
      <c r="B2" s="18"/>
      <c r="C2" s="22" t="s">
        <v>172</v>
      </c>
      <c r="D2" s="18"/>
      <c r="E2" s="18"/>
      <c r="F2" s="18"/>
      <c r="G2" s="18"/>
      <c r="H2" s="18"/>
      <c r="I2" s="3" t="s">
        <v>7</v>
      </c>
      <c r="J2" s="2" t="s">
        <v>7</v>
      </c>
    </row>
    <row r="3" spans="1:11" ht="19.5" x14ac:dyDescent="0.25">
      <c r="A3" s="4" t="s">
        <v>10</v>
      </c>
      <c r="B3" s="5" t="s">
        <v>11</v>
      </c>
      <c r="C3" s="6" t="s">
        <v>12</v>
      </c>
      <c r="D3" s="5" t="s">
        <v>13</v>
      </c>
      <c r="E3" s="4" t="s">
        <v>14</v>
      </c>
      <c r="F3" s="4" t="s">
        <v>15</v>
      </c>
      <c r="G3" s="4" t="s">
        <v>16</v>
      </c>
      <c r="H3" s="5" t="s">
        <v>17</v>
      </c>
      <c r="I3" s="4" t="s">
        <v>18</v>
      </c>
      <c r="J3" s="5" t="s">
        <v>19</v>
      </c>
    </row>
    <row r="4" spans="1:11" x14ac:dyDescent="0.25">
      <c r="A4" s="7">
        <v>1</v>
      </c>
      <c r="B4" s="8">
        <v>43714</v>
      </c>
      <c r="C4" s="9" t="s">
        <v>45</v>
      </c>
      <c r="D4" s="10" t="s">
        <v>21</v>
      </c>
      <c r="E4" s="11">
        <v>5072148.0896200798</v>
      </c>
      <c r="F4" s="12">
        <v>2525.8323</v>
      </c>
      <c r="G4" s="13">
        <v>2525.8323</v>
      </c>
      <c r="H4" s="8">
        <v>43717</v>
      </c>
      <c r="I4" s="14">
        <v>2008.1096</v>
      </c>
      <c r="J4" s="8">
        <v>43714</v>
      </c>
    </row>
    <row r="5" spans="1:11" x14ac:dyDescent="0.25">
      <c r="A5" s="7">
        <v>2</v>
      </c>
      <c r="B5" s="8">
        <v>43733</v>
      </c>
      <c r="C5" s="9" t="s">
        <v>145</v>
      </c>
      <c r="D5" s="10" t="s">
        <v>24</v>
      </c>
      <c r="E5" s="15">
        <v>-9170.5377366400007</v>
      </c>
      <c r="F5" s="16">
        <v>-4.5913000000000004</v>
      </c>
      <c r="G5" s="13">
        <v>2521.241</v>
      </c>
      <c r="H5" s="8">
        <v>43733</v>
      </c>
      <c r="I5" s="14">
        <v>1997.3728000000001</v>
      </c>
      <c r="J5" s="8">
        <v>43733</v>
      </c>
    </row>
    <row r="6" spans="1:11" x14ac:dyDescent="0.25">
      <c r="A6" s="7">
        <v>3</v>
      </c>
      <c r="B6" s="8">
        <v>43733</v>
      </c>
      <c r="C6" s="9" t="s">
        <v>146</v>
      </c>
      <c r="D6" s="10" t="s">
        <v>24</v>
      </c>
      <c r="E6" s="15">
        <v>-12225.319696959999</v>
      </c>
      <c r="F6" s="16">
        <v>-6.1207000000000003</v>
      </c>
      <c r="G6" s="13">
        <v>2515.1203</v>
      </c>
      <c r="H6" s="8">
        <v>43733</v>
      </c>
      <c r="I6" s="14">
        <v>1997.3728000000001</v>
      </c>
      <c r="J6" s="8">
        <v>43733</v>
      </c>
    </row>
    <row r="7" spans="1:11" x14ac:dyDescent="0.25">
      <c r="A7" s="7">
        <v>4</v>
      </c>
      <c r="B7" s="8">
        <v>43763</v>
      </c>
      <c r="C7" s="9" t="s">
        <v>147</v>
      </c>
      <c r="D7" s="10" t="s">
        <v>24</v>
      </c>
      <c r="E7" s="15">
        <v>-9229.1472432499995</v>
      </c>
      <c r="F7" s="16">
        <v>-4.5925000000000002</v>
      </c>
      <c r="G7" s="13">
        <v>2510.5277999999998</v>
      </c>
      <c r="H7" s="8">
        <v>43763</v>
      </c>
      <c r="I7" s="14">
        <v>2009.6129000000001</v>
      </c>
      <c r="J7" s="8">
        <v>43763</v>
      </c>
    </row>
    <row r="8" spans="1:11" x14ac:dyDescent="0.25">
      <c r="A8" s="7">
        <v>5</v>
      </c>
      <c r="B8" s="8">
        <v>43763</v>
      </c>
      <c r="C8" s="9" t="s">
        <v>148</v>
      </c>
      <c r="D8" s="10" t="s">
        <v>24</v>
      </c>
      <c r="E8" s="15">
        <v>-12303.45305767</v>
      </c>
      <c r="F8" s="16">
        <v>-6.1223000000000001</v>
      </c>
      <c r="G8" s="13">
        <v>2504.4054999999998</v>
      </c>
      <c r="H8" s="8">
        <v>43763</v>
      </c>
      <c r="I8" s="14">
        <v>2009.6129000000001</v>
      </c>
      <c r="J8" s="8">
        <v>43763</v>
      </c>
    </row>
    <row r="9" spans="1:11" x14ac:dyDescent="0.25">
      <c r="A9" s="7">
        <v>6</v>
      </c>
      <c r="B9" s="8">
        <v>43794</v>
      </c>
      <c r="C9" s="9" t="s">
        <v>143</v>
      </c>
      <c r="D9" s="10" t="s">
        <v>21</v>
      </c>
      <c r="E9" s="11">
        <v>99999.932254579995</v>
      </c>
      <c r="F9" s="12">
        <v>50.058700000000002</v>
      </c>
      <c r="G9" s="13">
        <v>2554.4641999999999</v>
      </c>
      <c r="H9" s="8">
        <v>43725</v>
      </c>
      <c r="I9" s="14">
        <v>1997.6533999999999</v>
      </c>
      <c r="J9" s="8">
        <v>43794</v>
      </c>
    </row>
    <row r="10" spans="1:11" x14ac:dyDescent="0.25">
      <c r="A10" s="7">
        <v>7</v>
      </c>
      <c r="B10" s="8">
        <v>43794</v>
      </c>
      <c r="C10" s="9" t="s">
        <v>144</v>
      </c>
      <c r="D10" s="10" t="s">
        <v>21</v>
      </c>
      <c r="E10" s="11">
        <v>47500.002779859999</v>
      </c>
      <c r="F10" s="12">
        <v>23.777899999999999</v>
      </c>
      <c r="G10" s="13">
        <v>2578.2420999999999</v>
      </c>
      <c r="H10" s="8">
        <v>43725</v>
      </c>
      <c r="I10" s="14">
        <v>1997.6533999999999</v>
      </c>
      <c r="J10" s="8">
        <v>43794</v>
      </c>
    </row>
    <row r="11" spans="1:11" x14ac:dyDescent="0.25">
      <c r="A11" s="7">
        <v>8</v>
      </c>
      <c r="B11" s="8">
        <v>43794</v>
      </c>
      <c r="C11" s="9" t="s">
        <v>149</v>
      </c>
      <c r="D11" s="10" t="s">
        <v>24</v>
      </c>
      <c r="E11" s="15">
        <v>-9379.2817054499992</v>
      </c>
      <c r="F11" s="16">
        <v>-4.6265000000000001</v>
      </c>
      <c r="G11" s="13">
        <v>2573.6156000000001</v>
      </c>
      <c r="H11" s="8">
        <v>43795</v>
      </c>
      <c r="I11" s="14">
        <v>2027.2953</v>
      </c>
      <c r="J11" s="8">
        <v>43794</v>
      </c>
    </row>
    <row r="12" spans="1:11" x14ac:dyDescent="0.25">
      <c r="A12" s="7">
        <v>9</v>
      </c>
      <c r="B12" s="8">
        <v>43794</v>
      </c>
      <c r="C12" s="9" t="s">
        <v>150</v>
      </c>
      <c r="D12" s="10" t="s">
        <v>24</v>
      </c>
      <c r="E12" s="15">
        <v>-12503.54649228</v>
      </c>
      <c r="F12" s="16">
        <v>-6.1676000000000002</v>
      </c>
      <c r="G12" s="13">
        <v>2567.4479999999999</v>
      </c>
      <c r="H12" s="8">
        <v>43795</v>
      </c>
      <c r="I12" s="14">
        <v>2027.2953</v>
      </c>
      <c r="J12" s="8">
        <v>43794</v>
      </c>
    </row>
    <row r="13" spans="1:11" x14ac:dyDescent="0.25">
      <c r="A13" s="7">
        <v>10</v>
      </c>
      <c r="B13" s="8">
        <v>43824</v>
      </c>
      <c r="C13" s="9" t="s">
        <v>143</v>
      </c>
      <c r="D13" s="10" t="s">
        <v>21</v>
      </c>
      <c r="E13" s="11">
        <v>100000.03133631</v>
      </c>
      <c r="F13" s="12">
        <v>49.391300000000001</v>
      </c>
      <c r="G13" s="13">
        <v>2616.8393000000001</v>
      </c>
      <c r="H13" s="8">
        <v>43808</v>
      </c>
      <c r="I13" s="14">
        <v>2024.6487</v>
      </c>
      <c r="J13" s="8">
        <v>43824</v>
      </c>
    </row>
    <row r="14" spans="1:11" x14ac:dyDescent="0.25">
      <c r="A14" s="7">
        <v>11</v>
      </c>
      <c r="B14" s="8">
        <v>43824</v>
      </c>
      <c r="C14" s="9" t="s">
        <v>144</v>
      </c>
      <c r="D14" s="10" t="s">
        <v>21</v>
      </c>
      <c r="E14" s="11">
        <v>47500.080685829998</v>
      </c>
      <c r="F14" s="12">
        <v>23.460899999999999</v>
      </c>
      <c r="G14" s="13">
        <v>2640.3002000000001</v>
      </c>
      <c r="H14" s="8">
        <v>43808</v>
      </c>
      <c r="I14" s="14">
        <v>2024.6487</v>
      </c>
      <c r="J14" s="8">
        <v>43824</v>
      </c>
    </row>
    <row r="15" spans="1:11" x14ac:dyDescent="0.25">
      <c r="A15" s="7">
        <v>12</v>
      </c>
      <c r="B15" s="8">
        <v>43824</v>
      </c>
      <c r="C15" s="9" t="s">
        <v>151</v>
      </c>
      <c r="D15" s="10" t="s">
        <v>24</v>
      </c>
      <c r="E15" s="15">
        <v>-9375.2751625500005</v>
      </c>
      <c r="F15" s="16">
        <v>-4.6364999999999998</v>
      </c>
      <c r="G15" s="13">
        <v>2635.6637000000001</v>
      </c>
      <c r="H15" s="8">
        <v>43825</v>
      </c>
      <c r="I15" s="14">
        <v>2022.0587</v>
      </c>
      <c r="J15" s="8">
        <v>43824</v>
      </c>
    </row>
    <row r="16" spans="1:11" x14ac:dyDescent="0.25">
      <c r="A16" s="7">
        <v>13</v>
      </c>
      <c r="B16" s="8">
        <v>43824</v>
      </c>
      <c r="C16" s="9" t="s">
        <v>152</v>
      </c>
      <c r="D16" s="10" t="s">
        <v>24</v>
      </c>
      <c r="E16" s="15">
        <v>-12498.3448247</v>
      </c>
      <c r="F16" s="16">
        <v>-6.181</v>
      </c>
      <c r="G16" s="13">
        <v>2629.4827</v>
      </c>
      <c r="H16" s="8">
        <v>43825</v>
      </c>
      <c r="I16" s="14">
        <v>2022.0587</v>
      </c>
      <c r="J16" s="8">
        <v>43824</v>
      </c>
    </row>
    <row r="17" spans="1:10" x14ac:dyDescent="0.25">
      <c r="A17" s="7">
        <v>14</v>
      </c>
      <c r="B17" s="8">
        <v>43855</v>
      </c>
      <c r="C17" s="9" t="s">
        <v>143</v>
      </c>
      <c r="D17" s="10" t="s">
        <v>21</v>
      </c>
      <c r="E17" s="11">
        <v>100000.03133631</v>
      </c>
      <c r="F17" s="12">
        <v>49.391300000000001</v>
      </c>
      <c r="G17" s="13">
        <v>2678.8739999999998</v>
      </c>
      <c r="H17" s="8">
        <v>43808</v>
      </c>
      <c r="I17" s="14">
        <v>2024.6487</v>
      </c>
      <c r="J17" s="8">
        <v>43855</v>
      </c>
    </row>
    <row r="18" spans="1:10" x14ac:dyDescent="0.25">
      <c r="A18" s="7">
        <v>15</v>
      </c>
      <c r="B18" s="8">
        <v>43855</v>
      </c>
      <c r="C18" s="9" t="s">
        <v>144</v>
      </c>
      <c r="D18" s="10" t="s">
        <v>21</v>
      </c>
      <c r="E18" s="11">
        <v>47500.080685829998</v>
      </c>
      <c r="F18" s="12">
        <v>23.460899999999999</v>
      </c>
      <c r="G18" s="13">
        <v>2702.3348999999998</v>
      </c>
      <c r="H18" s="8">
        <v>43808</v>
      </c>
      <c r="I18" s="14">
        <v>2024.6487</v>
      </c>
      <c r="J18" s="8">
        <v>43855</v>
      </c>
    </row>
    <row r="19" spans="1:10" x14ac:dyDescent="0.25">
      <c r="A19" s="7">
        <v>16</v>
      </c>
      <c r="B19" s="8">
        <v>43855</v>
      </c>
      <c r="C19" s="9" t="s">
        <v>153</v>
      </c>
      <c r="D19" s="10" t="s">
        <v>24</v>
      </c>
      <c r="E19" s="15">
        <v>-9508.4025241599993</v>
      </c>
      <c r="F19" s="16">
        <v>-4.6528</v>
      </c>
      <c r="G19" s="13">
        <v>2697.6821</v>
      </c>
      <c r="H19" s="8">
        <v>43857</v>
      </c>
      <c r="I19" s="14">
        <v>2043.5871999999999</v>
      </c>
      <c r="J19" s="8">
        <v>43855</v>
      </c>
    </row>
    <row r="20" spans="1:10" x14ac:dyDescent="0.25">
      <c r="A20" s="7">
        <v>17</v>
      </c>
      <c r="B20" s="8">
        <v>43855</v>
      </c>
      <c r="C20" s="9" t="s">
        <v>154</v>
      </c>
      <c r="D20" s="10" t="s">
        <v>24</v>
      </c>
      <c r="E20" s="15">
        <v>-12675.75832544</v>
      </c>
      <c r="F20" s="16">
        <v>-6.2027000000000001</v>
      </c>
      <c r="G20" s="13">
        <v>2691.4794000000002</v>
      </c>
      <c r="H20" s="8">
        <v>43857</v>
      </c>
      <c r="I20" s="14">
        <v>2043.5871999999999</v>
      </c>
      <c r="J20" s="8">
        <v>43855</v>
      </c>
    </row>
    <row r="21" spans="1:10" x14ac:dyDescent="0.25">
      <c r="A21" s="7">
        <v>18</v>
      </c>
      <c r="B21" s="8">
        <v>43886</v>
      </c>
      <c r="C21" s="9" t="s">
        <v>143</v>
      </c>
      <c r="D21" s="10" t="s">
        <v>21</v>
      </c>
      <c r="E21" s="11">
        <v>99999.96133839</v>
      </c>
      <c r="F21" s="12">
        <v>49.631100000000004</v>
      </c>
      <c r="G21" s="13">
        <v>2741.1104999999998</v>
      </c>
      <c r="H21" s="8">
        <v>43817</v>
      </c>
      <c r="I21" s="14">
        <v>2014.8649</v>
      </c>
      <c r="J21" s="8">
        <v>43886</v>
      </c>
    </row>
    <row r="22" spans="1:10" x14ac:dyDescent="0.25">
      <c r="A22" s="7">
        <v>19</v>
      </c>
      <c r="B22" s="8">
        <v>43886</v>
      </c>
      <c r="C22" s="9" t="s">
        <v>144</v>
      </c>
      <c r="D22" s="10" t="s">
        <v>21</v>
      </c>
      <c r="E22" s="11">
        <v>47500.037044520002</v>
      </c>
      <c r="F22" s="12">
        <v>23.5748</v>
      </c>
      <c r="G22" s="13">
        <v>2764.6853000000001</v>
      </c>
      <c r="H22" s="8">
        <v>43817</v>
      </c>
      <c r="I22" s="14">
        <v>2014.8649</v>
      </c>
      <c r="J22" s="8">
        <v>43886</v>
      </c>
    </row>
    <row r="23" spans="1:10" x14ac:dyDescent="0.25">
      <c r="A23" s="7">
        <v>20</v>
      </c>
      <c r="B23" s="8">
        <v>43886</v>
      </c>
      <c r="C23" s="9" t="s">
        <v>155</v>
      </c>
      <c r="D23" s="10" t="s">
        <v>24</v>
      </c>
      <c r="E23" s="15">
        <v>-9961.8492729000009</v>
      </c>
      <c r="F23" s="16">
        <v>-4.7770000000000001</v>
      </c>
      <c r="G23" s="13">
        <v>2759.9083000000001</v>
      </c>
      <c r="H23" s="8">
        <v>43886</v>
      </c>
      <c r="I23" s="14">
        <v>2085.3777</v>
      </c>
      <c r="J23" s="8">
        <v>43886</v>
      </c>
    </row>
    <row r="24" spans="1:10" x14ac:dyDescent="0.25">
      <c r="A24" s="7">
        <v>21</v>
      </c>
      <c r="B24" s="8">
        <v>43886</v>
      </c>
      <c r="C24" s="9" t="s">
        <v>156</v>
      </c>
      <c r="D24" s="10" t="s">
        <v>24</v>
      </c>
      <c r="E24" s="15">
        <v>-13280.51934468</v>
      </c>
      <c r="F24" s="16">
        <v>-6.3684000000000003</v>
      </c>
      <c r="G24" s="13">
        <v>2753.5399000000002</v>
      </c>
      <c r="H24" s="8">
        <v>43886</v>
      </c>
      <c r="I24" s="14">
        <v>2085.3777</v>
      </c>
      <c r="J24" s="8">
        <v>43886</v>
      </c>
    </row>
    <row r="25" spans="1:10" x14ac:dyDescent="0.25">
      <c r="A25" s="7">
        <v>22</v>
      </c>
      <c r="B25" s="8">
        <v>43915</v>
      </c>
      <c r="C25" s="9" t="s">
        <v>143</v>
      </c>
      <c r="D25" s="10" t="s">
        <v>21</v>
      </c>
      <c r="E25" s="11">
        <v>99999.967337370006</v>
      </c>
      <c r="F25" s="12">
        <v>49.052700000000002</v>
      </c>
      <c r="G25" s="13">
        <v>2802.5925999999999</v>
      </c>
      <c r="H25" s="8">
        <v>43847</v>
      </c>
      <c r="I25" s="14">
        <v>2038.6231</v>
      </c>
      <c r="J25" s="8">
        <v>43915</v>
      </c>
    </row>
    <row r="26" spans="1:10" x14ac:dyDescent="0.25">
      <c r="A26" s="7">
        <v>23</v>
      </c>
      <c r="B26" s="8">
        <v>43915</v>
      </c>
      <c r="C26" s="9" t="s">
        <v>144</v>
      </c>
      <c r="D26" s="10" t="s">
        <v>21</v>
      </c>
      <c r="E26" s="11">
        <v>47499.918230000003</v>
      </c>
      <c r="F26" s="12">
        <v>23.3</v>
      </c>
      <c r="G26" s="13">
        <v>2825.8926000000001</v>
      </c>
      <c r="H26" s="8">
        <v>43847</v>
      </c>
      <c r="I26" s="14">
        <v>2038.6231</v>
      </c>
      <c r="J26" s="8">
        <v>43915</v>
      </c>
    </row>
    <row r="27" spans="1:10" x14ac:dyDescent="0.25">
      <c r="A27" s="7">
        <v>24</v>
      </c>
      <c r="B27" s="8">
        <v>43915</v>
      </c>
      <c r="C27" s="9" t="s">
        <v>157</v>
      </c>
      <c r="D27" s="10" t="s">
        <v>24</v>
      </c>
      <c r="E27" s="15">
        <v>-11598.593487059999</v>
      </c>
      <c r="F27" s="16">
        <v>-5.7313999999999998</v>
      </c>
      <c r="G27" s="13">
        <v>2820.1612</v>
      </c>
      <c r="H27" s="8">
        <v>43916</v>
      </c>
      <c r="I27" s="14">
        <v>2023.6929</v>
      </c>
      <c r="J27" s="8">
        <v>43915</v>
      </c>
    </row>
    <row r="28" spans="1:10" x14ac:dyDescent="0.25">
      <c r="A28" s="7">
        <v>25</v>
      </c>
      <c r="B28" s="8">
        <v>43915</v>
      </c>
      <c r="C28" s="9" t="s">
        <v>158</v>
      </c>
      <c r="D28" s="10" t="s">
        <v>24</v>
      </c>
      <c r="E28" s="15">
        <v>-15462.22797174</v>
      </c>
      <c r="F28" s="16">
        <v>-7.6406000000000001</v>
      </c>
      <c r="G28" s="13">
        <v>2812.5205999999998</v>
      </c>
      <c r="H28" s="8">
        <v>43916</v>
      </c>
      <c r="I28" s="14">
        <v>2023.6929</v>
      </c>
      <c r="J28" s="8">
        <v>43915</v>
      </c>
    </row>
    <row r="29" spans="1:10" x14ac:dyDescent="0.25">
      <c r="A29" s="7">
        <v>26</v>
      </c>
      <c r="B29" s="8">
        <v>43946</v>
      </c>
      <c r="C29" s="9" t="s">
        <v>143</v>
      </c>
      <c r="D29" s="10" t="s">
        <v>21</v>
      </c>
      <c r="E29" s="11">
        <v>100000.0257307</v>
      </c>
      <c r="F29" s="12">
        <v>47.985500000000002</v>
      </c>
      <c r="G29" s="13">
        <v>2860.5061000000001</v>
      </c>
      <c r="H29" s="8">
        <v>43879</v>
      </c>
      <c r="I29" s="14">
        <v>2083.9634000000001</v>
      </c>
      <c r="J29" s="8">
        <v>43946</v>
      </c>
    </row>
    <row r="30" spans="1:10" x14ac:dyDescent="0.25">
      <c r="A30" s="7">
        <v>27</v>
      </c>
      <c r="B30" s="8">
        <v>43946</v>
      </c>
      <c r="C30" s="9" t="s">
        <v>144</v>
      </c>
      <c r="D30" s="10" t="s">
        <v>21</v>
      </c>
      <c r="E30" s="11">
        <v>47499.986172539997</v>
      </c>
      <c r="F30" s="12">
        <v>22.793099999999999</v>
      </c>
      <c r="G30" s="13">
        <v>2883.2991999999999</v>
      </c>
      <c r="H30" s="8">
        <v>43879</v>
      </c>
      <c r="I30" s="14">
        <v>2083.9634000000001</v>
      </c>
      <c r="J30" s="8">
        <v>43946</v>
      </c>
    </row>
    <row r="31" spans="1:10" x14ac:dyDescent="0.25">
      <c r="A31" s="7">
        <v>28</v>
      </c>
      <c r="B31" s="8">
        <v>43946</v>
      </c>
      <c r="C31" s="9" t="s">
        <v>159</v>
      </c>
      <c r="D31" s="10" t="s">
        <v>24</v>
      </c>
      <c r="E31" s="15">
        <v>-10582.43460436</v>
      </c>
      <c r="F31" s="16">
        <v>-5.1817000000000002</v>
      </c>
      <c r="G31" s="13">
        <v>2878.1174999999998</v>
      </c>
      <c r="H31" s="8">
        <v>43948</v>
      </c>
      <c r="I31" s="14">
        <v>2042.2708</v>
      </c>
      <c r="J31" s="8">
        <v>43946</v>
      </c>
    </row>
    <row r="32" spans="1:10" x14ac:dyDescent="0.25">
      <c r="A32" s="7">
        <v>29</v>
      </c>
      <c r="B32" s="8">
        <v>43946</v>
      </c>
      <c r="C32" s="9" t="s">
        <v>160</v>
      </c>
      <c r="D32" s="10" t="s">
        <v>24</v>
      </c>
      <c r="E32" s="15">
        <v>-14107.802459320001</v>
      </c>
      <c r="F32" s="16">
        <v>-6.9078999999999997</v>
      </c>
      <c r="G32" s="13">
        <v>2871.2096000000001</v>
      </c>
      <c r="H32" s="8">
        <v>43948</v>
      </c>
      <c r="I32" s="14">
        <v>2042.2708</v>
      </c>
      <c r="J32" s="8">
        <v>43946</v>
      </c>
    </row>
    <row r="33" spans="1:10" x14ac:dyDescent="0.25">
      <c r="A33" s="7">
        <v>30</v>
      </c>
      <c r="B33" s="8">
        <v>43976</v>
      </c>
      <c r="C33" s="9" t="s">
        <v>143</v>
      </c>
      <c r="D33" s="10" t="s">
        <v>21</v>
      </c>
      <c r="E33" s="11">
        <v>99999.900051139994</v>
      </c>
      <c r="F33" s="12">
        <v>48.594200000000001</v>
      </c>
      <c r="G33" s="13">
        <v>2919.8038000000001</v>
      </c>
      <c r="H33" s="8">
        <v>43908</v>
      </c>
      <c r="I33" s="14">
        <v>2057.8566999999998</v>
      </c>
      <c r="J33" s="8">
        <v>43976</v>
      </c>
    </row>
    <row r="34" spans="1:10" x14ac:dyDescent="0.25">
      <c r="A34" s="7">
        <v>31</v>
      </c>
      <c r="B34" s="8">
        <v>43976</v>
      </c>
      <c r="C34" s="9" t="s">
        <v>144</v>
      </c>
      <c r="D34" s="10" t="s">
        <v>21</v>
      </c>
      <c r="E34" s="11">
        <v>47500.065706410001</v>
      </c>
      <c r="F34" s="12">
        <v>23.0823</v>
      </c>
      <c r="G34" s="13">
        <v>2942.8861000000002</v>
      </c>
      <c r="H34" s="8">
        <v>43908</v>
      </c>
      <c r="I34" s="14">
        <v>2057.8566999999998</v>
      </c>
      <c r="J34" s="8">
        <v>43976</v>
      </c>
    </row>
    <row r="35" spans="1:10" x14ac:dyDescent="0.25">
      <c r="A35" s="7">
        <v>32</v>
      </c>
      <c r="B35" s="8">
        <v>43976</v>
      </c>
      <c r="C35" s="9" t="s">
        <v>161</v>
      </c>
      <c r="D35" s="10" t="s">
        <v>24</v>
      </c>
      <c r="E35" s="15">
        <v>-10514.272194900001</v>
      </c>
      <c r="F35" s="16">
        <v>-5.1033999999999997</v>
      </c>
      <c r="G35" s="13">
        <v>2937.7827000000002</v>
      </c>
      <c r="H35" s="8">
        <v>43977</v>
      </c>
      <c r="I35" s="14">
        <v>2060.2485000000001</v>
      </c>
      <c r="J35" s="8">
        <v>43976</v>
      </c>
    </row>
    <row r="36" spans="1:10" x14ac:dyDescent="0.25">
      <c r="A36" s="7">
        <v>33</v>
      </c>
      <c r="B36" s="8">
        <v>43976</v>
      </c>
      <c r="C36" s="9" t="s">
        <v>162</v>
      </c>
      <c r="D36" s="10" t="s">
        <v>24</v>
      </c>
      <c r="E36" s="15">
        <v>-14016.900669750001</v>
      </c>
      <c r="F36" s="16">
        <v>-6.8034999999999997</v>
      </c>
      <c r="G36" s="13">
        <v>2930.9792000000002</v>
      </c>
      <c r="H36" s="8">
        <v>43977</v>
      </c>
      <c r="I36" s="14">
        <v>2060.2485000000001</v>
      </c>
      <c r="J36" s="8">
        <v>43976</v>
      </c>
    </row>
    <row r="37" spans="1:10" x14ac:dyDescent="0.25">
      <c r="A37" s="7">
        <v>34</v>
      </c>
      <c r="B37" s="8">
        <v>44007</v>
      </c>
      <c r="C37" s="9" t="s">
        <v>143</v>
      </c>
      <c r="D37" s="10" t="s">
        <v>21</v>
      </c>
      <c r="E37" s="11">
        <v>100000.01600697001</v>
      </c>
      <c r="F37" s="12">
        <v>48.893099999999997</v>
      </c>
      <c r="G37" s="13">
        <v>2979.8723</v>
      </c>
      <c r="H37" s="8">
        <v>43943</v>
      </c>
      <c r="I37" s="14">
        <v>2045.2787000000001</v>
      </c>
      <c r="J37" s="8">
        <v>44007</v>
      </c>
    </row>
    <row r="38" spans="1:10" x14ac:dyDescent="0.25">
      <c r="A38" s="7">
        <v>35</v>
      </c>
      <c r="B38" s="8">
        <v>44007</v>
      </c>
      <c r="C38" s="9" t="s">
        <v>144</v>
      </c>
      <c r="D38" s="10" t="s">
        <v>21</v>
      </c>
      <c r="E38" s="11">
        <v>47499.961584539997</v>
      </c>
      <c r="F38" s="12">
        <v>23.2242</v>
      </c>
      <c r="G38" s="13">
        <v>3003.0965000000001</v>
      </c>
      <c r="H38" s="8">
        <v>43943</v>
      </c>
      <c r="I38" s="14">
        <v>2045.2787000000001</v>
      </c>
      <c r="J38" s="8">
        <v>44007</v>
      </c>
    </row>
    <row r="39" spans="1:10" x14ac:dyDescent="0.25">
      <c r="A39" s="7">
        <v>36</v>
      </c>
      <c r="B39" s="8">
        <v>44007</v>
      </c>
      <c r="C39" s="9" t="s">
        <v>163</v>
      </c>
      <c r="D39" s="10" t="s">
        <v>24</v>
      </c>
      <c r="E39" s="15">
        <v>-10435.2175725</v>
      </c>
      <c r="F39" s="16">
        <v>-4.9874999999999998</v>
      </c>
      <c r="G39" s="13">
        <v>2998.1089999999999</v>
      </c>
      <c r="H39" s="8">
        <v>44007</v>
      </c>
      <c r="I39" s="14">
        <v>2092.2741999999998</v>
      </c>
      <c r="J39" s="8">
        <v>44007</v>
      </c>
    </row>
    <row r="40" spans="1:10" x14ac:dyDescent="0.25">
      <c r="A40" s="7">
        <v>37</v>
      </c>
      <c r="B40" s="8">
        <v>44007</v>
      </c>
      <c r="C40" s="9" t="s">
        <v>164</v>
      </c>
      <c r="D40" s="10" t="s">
        <v>24</v>
      </c>
      <c r="E40" s="15">
        <v>-13911.531155799999</v>
      </c>
      <c r="F40" s="16">
        <v>-6.649</v>
      </c>
      <c r="G40" s="13">
        <v>2991.46</v>
      </c>
      <c r="H40" s="8">
        <v>44007</v>
      </c>
      <c r="I40" s="14">
        <v>2092.2741999999998</v>
      </c>
      <c r="J40" s="8">
        <v>44007</v>
      </c>
    </row>
    <row r="41" spans="1:10" x14ac:dyDescent="0.25">
      <c r="A41" s="7">
        <v>38</v>
      </c>
      <c r="B41" s="8">
        <v>44037</v>
      </c>
      <c r="C41" s="9" t="s">
        <v>143</v>
      </c>
      <c r="D41" s="10" t="s">
        <v>21</v>
      </c>
      <c r="E41" s="11">
        <v>100000.0056392</v>
      </c>
      <c r="F41" s="12">
        <v>48.709000000000003</v>
      </c>
      <c r="G41" s="13">
        <v>3040.1689999999999</v>
      </c>
      <c r="H41" s="8">
        <v>43969</v>
      </c>
      <c r="I41" s="14">
        <v>2053.0088000000001</v>
      </c>
      <c r="J41" s="8">
        <v>44037</v>
      </c>
    </row>
    <row r="42" spans="1:10" x14ac:dyDescent="0.25">
      <c r="A42" s="7">
        <v>39</v>
      </c>
      <c r="B42" s="8">
        <v>44037</v>
      </c>
      <c r="C42" s="9" t="s">
        <v>144</v>
      </c>
      <c r="D42" s="10" t="s">
        <v>21</v>
      </c>
      <c r="E42" s="11">
        <v>47500.054003839999</v>
      </c>
      <c r="F42" s="12">
        <v>23.136800000000001</v>
      </c>
      <c r="G42" s="13">
        <v>3063.3058000000001</v>
      </c>
      <c r="H42" s="8">
        <v>43969</v>
      </c>
      <c r="I42" s="14">
        <v>2053.0088000000001</v>
      </c>
      <c r="J42" s="8">
        <v>44037</v>
      </c>
    </row>
    <row r="43" spans="1:10" x14ac:dyDescent="0.25">
      <c r="A43" s="7">
        <v>40</v>
      </c>
      <c r="B43" s="8">
        <v>44037</v>
      </c>
      <c r="C43" s="9" t="s">
        <v>165</v>
      </c>
      <c r="D43" s="10" t="s">
        <v>24</v>
      </c>
      <c r="E43" s="15">
        <v>-10217.513433640001</v>
      </c>
      <c r="F43" s="16">
        <v>-4.8211000000000004</v>
      </c>
      <c r="G43" s="13">
        <v>3058.4847</v>
      </c>
      <c r="H43" s="8">
        <v>44039</v>
      </c>
      <c r="I43" s="14">
        <v>2119.3323999999998</v>
      </c>
      <c r="J43" s="8">
        <v>44037</v>
      </c>
    </row>
    <row r="44" spans="1:10" x14ac:dyDescent="0.25">
      <c r="A44" s="7">
        <v>41</v>
      </c>
      <c r="B44" s="8">
        <v>44037</v>
      </c>
      <c r="C44" s="9" t="s">
        <v>166</v>
      </c>
      <c r="D44" s="10" t="s">
        <v>24</v>
      </c>
      <c r="E44" s="15">
        <v>-13620.9493348</v>
      </c>
      <c r="F44" s="16">
        <v>-6.4269999999999996</v>
      </c>
      <c r="G44" s="13">
        <v>3052.0576999999998</v>
      </c>
      <c r="H44" s="8">
        <v>44039</v>
      </c>
      <c r="I44" s="14">
        <v>2119.3323999999998</v>
      </c>
      <c r="J44" s="8">
        <v>44037</v>
      </c>
    </row>
    <row r="45" spans="1:10" x14ac:dyDescent="0.25">
      <c r="A45" s="7">
        <v>42</v>
      </c>
      <c r="B45" s="8">
        <v>44068</v>
      </c>
      <c r="C45" s="9" t="s">
        <v>143</v>
      </c>
      <c r="D45" s="10" t="s">
        <v>21</v>
      </c>
      <c r="E45" s="11">
        <v>100000.00479779999</v>
      </c>
      <c r="F45" s="12">
        <v>47.905999999999999</v>
      </c>
      <c r="G45" s="13">
        <v>3099.9636999999998</v>
      </c>
      <c r="H45" s="8">
        <v>44005</v>
      </c>
      <c r="I45" s="14">
        <v>2087.4213</v>
      </c>
      <c r="J45" s="8">
        <v>44068</v>
      </c>
    </row>
    <row r="46" spans="1:10" x14ac:dyDescent="0.25">
      <c r="A46" s="7">
        <v>43</v>
      </c>
      <c r="B46" s="8">
        <v>44068</v>
      </c>
      <c r="C46" s="9" t="s">
        <v>144</v>
      </c>
      <c r="D46" s="10" t="s">
        <v>21</v>
      </c>
      <c r="E46" s="11">
        <v>47499.897907890001</v>
      </c>
      <c r="F46" s="12">
        <v>22.755299999999998</v>
      </c>
      <c r="G46" s="13">
        <v>3122.7190000000001</v>
      </c>
      <c r="H46" s="8">
        <v>44005</v>
      </c>
      <c r="I46" s="14">
        <v>2087.4213</v>
      </c>
      <c r="J46" s="8">
        <v>44068</v>
      </c>
    </row>
    <row r="47" spans="1:10" x14ac:dyDescent="0.25">
      <c r="A47" s="7">
        <v>44</v>
      </c>
      <c r="B47" s="8">
        <v>44068</v>
      </c>
      <c r="C47" s="9" t="s">
        <v>167</v>
      </c>
      <c r="D47" s="10" t="s">
        <v>24</v>
      </c>
      <c r="E47" s="15">
        <v>-10196.46052244</v>
      </c>
      <c r="F47" s="16">
        <v>-4.7708000000000004</v>
      </c>
      <c r="G47" s="13">
        <v>3117.9481999999998</v>
      </c>
      <c r="H47" s="8">
        <v>44068</v>
      </c>
      <c r="I47" s="14">
        <v>2137.2642999999998</v>
      </c>
      <c r="J47" s="8">
        <v>44068</v>
      </c>
    </row>
    <row r="48" spans="1:10" x14ac:dyDescent="0.25">
      <c r="A48" s="7">
        <v>45</v>
      </c>
      <c r="B48" s="8">
        <v>44068</v>
      </c>
      <c r="C48" s="9" t="s">
        <v>168</v>
      </c>
      <c r="D48" s="10" t="s">
        <v>24</v>
      </c>
      <c r="E48" s="15">
        <v>-13593.000948000001</v>
      </c>
      <c r="F48" s="16">
        <v>-6.36</v>
      </c>
      <c r="G48" s="13">
        <v>3111.5882000000001</v>
      </c>
      <c r="H48" s="8">
        <v>44068</v>
      </c>
      <c r="I48" s="14">
        <v>2137.2642999999998</v>
      </c>
      <c r="J48" s="8">
        <v>44068</v>
      </c>
    </row>
    <row r="49" spans="1:10" x14ac:dyDescent="0.25">
      <c r="A49" s="7">
        <v>46</v>
      </c>
      <c r="B49" s="8">
        <v>44076</v>
      </c>
      <c r="C49" s="9" t="s">
        <v>169</v>
      </c>
      <c r="D49" s="10" t="s">
        <v>24</v>
      </c>
      <c r="E49" s="15">
        <v>-6942063.5366554204</v>
      </c>
      <c r="F49" s="16">
        <v>-3250.6158</v>
      </c>
      <c r="G49" s="13">
        <v>-139.02760000000001</v>
      </c>
      <c r="H49" s="8">
        <v>44078</v>
      </c>
      <c r="I49" s="14">
        <v>2135.6149</v>
      </c>
      <c r="J49" s="8">
        <v>44076</v>
      </c>
    </row>
    <row r="50" spans="1:10" x14ac:dyDescent="0.25">
      <c r="A50" s="7">
        <v>47</v>
      </c>
      <c r="B50" s="8">
        <v>44099</v>
      </c>
      <c r="C50" s="9" t="s">
        <v>170</v>
      </c>
      <c r="D50" s="10" t="s">
        <v>21</v>
      </c>
      <c r="E50" s="11">
        <v>100000.01573254001</v>
      </c>
      <c r="F50" s="12">
        <v>47.455100000000002</v>
      </c>
      <c r="G50" s="13">
        <v>-91.572500000000304</v>
      </c>
      <c r="H50" s="8">
        <v>44032</v>
      </c>
      <c r="I50" s="14">
        <v>2107.2554</v>
      </c>
      <c r="J50" s="8">
        <v>44099</v>
      </c>
    </row>
    <row r="51" spans="1:10" x14ac:dyDescent="0.25">
      <c r="A51" s="7">
        <v>48</v>
      </c>
      <c r="B51" s="8">
        <v>44099</v>
      </c>
      <c r="C51" s="9" t="s">
        <v>171</v>
      </c>
      <c r="D51" s="10" t="s">
        <v>21</v>
      </c>
      <c r="E51" s="11">
        <v>47500.065422480002</v>
      </c>
      <c r="F51" s="12">
        <v>22.5412</v>
      </c>
      <c r="G51" s="13">
        <v>-69.0313000000003</v>
      </c>
      <c r="H51" s="8">
        <v>44032</v>
      </c>
      <c r="I51" s="14">
        <v>2107.2554</v>
      </c>
      <c r="J51" s="8">
        <v>44099</v>
      </c>
    </row>
    <row r="52" spans="1:10" x14ac:dyDescent="0.25">
      <c r="A52" s="7">
        <v>49</v>
      </c>
      <c r="B52" s="8">
        <v>44129</v>
      </c>
      <c r="C52" s="9" t="s">
        <v>170</v>
      </c>
      <c r="D52" s="10" t="s">
        <v>21</v>
      </c>
      <c r="E52" s="11">
        <v>99999.951039000007</v>
      </c>
      <c r="F52" s="12">
        <v>46.800899999999999</v>
      </c>
      <c r="G52" s="13">
        <v>-22.230400000000301</v>
      </c>
      <c r="H52" s="8">
        <v>44067</v>
      </c>
      <c r="I52" s="14">
        <v>2136.71</v>
      </c>
      <c r="J52" s="8">
        <v>44129</v>
      </c>
    </row>
    <row r="53" spans="1:10" x14ac:dyDescent="0.25">
      <c r="A53" s="7">
        <v>50</v>
      </c>
      <c r="B53" s="8">
        <v>44129</v>
      </c>
      <c r="C53" s="9" t="s">
        <v>171</v>
      </c>
      <c r="D53" s="10" t="s">
        <v>21</v>
      </c>
      <c r="E53" s="11">
        <v>47499.917984</v>
      </c>
      <c r="F53" s="12">
        <v>22.230399999999999</v>
      </c>
      <c r="G53" s="13">
        <v>-3.4461322684364899E-13</v>
      </c>
      <c r="H53" s="8">
        <v>44067</v>
      </c>
      <c r="I53" s="14">
        <v>2136.71</v>
      </c>
      <c r="J53" s="8">
        <v>44129</v>
      </c>
    </row>
    <row r="54" spans="1:10" ht="0" hidden="1" customHeight="1" x14ac:dyDescent="0.25"/>
  </sheetData>
  <mergeCells count="4">
    <mergeCell ref="A1:G1"/>
    <mergeCell ref="I1:K1"/>
    <mergeCell ref="A2:B2"/>
    <mergeCell ref="C2:H2"/>
  </mergeCells>
  <pageMargins left="1" right="1" top="1" bottom="1" header="1" footer="1"/>
  <pageSetup orientation="landscape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1"/>
  <sheetViews>
    <sheetView showGridLines="0" workbookViewId="0">
      <selection sqref="A1:G1"/>
    </sheetView>
  </sheetViews>
  <sheetFormatPr defaultRowHeight="15" x14ac:dyDescent="0.25"/>
  <cols>
    <col min="1" max="1" width="5.42578125" customWidth="1"/>
    <col min="2" max="2" width="10.28515625" customWidth="1"/>
    <col min="3" max="3" width="31" customWidth="1"/>
    <col min="4" max="4" width="5" customWidth="1"/>
    <col min="5" max="5" width="14" customWidth="1"/>
    <col min="6" max="6" width="7.85546875" customWidth="1"/>
    <col min="7" max="7" width="10.28515625" customWidth="1"/>
    <col min="8" max="8" width="12.140625" customWidth="1"/>
    <col min="9" max="9" width="10.140625" customWidth="1"/>
    <col min="10" max="10" width="12" customWidth="1"/>
    <col min="11" max="11" width="0" hidden="1" customWidth="1"/>
  </cols>
  <sheetData>
    <row r="1" spans="1:11" ht="30.95" customHeight="1" x14ac:dyDescent="0.25">
      <c r="A1" s="20" t="s">
        <v>6</v>
      </c>
      <c r="B1" s="18"/>
      <c r="C1" s="18"/>
      <c r="D1" s="18"/>
      <c r="E1" s="18"/>
      <c r="F1" s="18"/>
      <c r="G1" s="18"/>
      <c r="H1" s="1" t="s">
        <v>7</v>
      </c>
      <c r="I1" s="18"/>
      <c r="J1" s="18"/>
      <c r="K1" s="18"/>
    </row>
    <row r="2" spans="1:11" ht="72" customHeight="1" x14ac:dyDescent="0.25">
      <c r="A2" s="21" t="s">
        <v>8</v>
      </c>
      <c r="B2" s="18"/>
      <c r="C2" s="22" t="s">
        <v>173</v>
      </c>
      <c r="D2" s="18"/>
      <c r="E2" s="18"/>
      <c r="F2" s="18"/>
      <c r="G2" s="18"/>
      <c r="H2" s="18"/>
      <c r="I2" s="3" t="s">
        <v>7</v>
      </c>
      <c r="J2" s="2" t="s">
        <v>7</v>
      </c>
    </row>
    <row r="3" spans="1:11" ht="19.5" x14ac:dyDescent="0.25">
      <c r="A3" s="4" t="s">
        <v>10</v>
      </c>
      <c r="B3" s="5" t="s">
        <v>11</v>
      </c>
      <c r="C3" s="6" t="s">
        <v>12</v>
      </c>
      <c r="D3" s="5" t="s">
        <v>13</v>
      </c>
      <c r="E3" s="4" t="s">
        <v>14</v>
      </c>
      <c r="F3" s="4" t="s">
        <v>15</v>
      </c>
      <c r="G3" s="4" t="s">
        <v>16</v>
      </c>
      <c r="H3" s="5" t="s">
        <v>17</v>
      </c>
      <c r="I3" s="4" t="s">
        <v>18</v>
      </c>
      <c r="J3" s="5" t="s">
        <v>19</v>
      </c>
    </row>
    <row r="4" spans="1:11" x14ac:dyDescent="0.25">
      <c r="A4" s="7">
        <v>1</v>
      </c>
      <c r="B4" s="8">
        <v>41907</v>
      </c>
      <c r="C4" s="9" t="s">
        <v>20</v>
      </c>
      <c r="D4" s="10" t="s">
        <v>21</v>
      </c>
      <c r="E4" s="11">
        <v>20000</v>
      </c>
      <c r="F4" s="12">
        <v>9.6360038104613501</v>
      </c>
      <c r="G4" s="13">
        <v>9.6360038104613501</v>
      </c>
      <c r="H4" s="8">
        <v>41908</v>
      </c>
      <c r="I4" s="14">
        <v>2075.5491999999999</v>
      </c>
      <c r="J4" s="8">
        <v>41907</v>
      </c>
    </row>
    <row r="5" spans="1:11" x14ac:dyDescent="0.25">
      <c r="A5" s="7">
        <v>2</v>
      </c>
      <c r="B5" s="8">
        <v>41907</v>
      </c>
      <c r="C5" s="9" t="s">
        <v>22</v>
      </c>
      <c r="D5" s="10" t="s">
        <v>21</v>
      </c>
      <c r="E5" s="11">
        <v>47500</v>
      </c>
      <c r="F5" s="12">
        <v>22.885509049845702</v>
      </c>
      <c r="G5" s="13">
        <v>32.521512860306999</v>
      </c>
      <c r="H5" s="8">
        <v>41908</v>
      </c>
      <c r="I5" s="14">
        <v>2075.5491999999999</v>
      </c>
      <c r="J5" s="8">
        <v>41907</v>
      </c>
    </row>
    <row r="6" spans="1:11" x14ac:dyDescent="0.25">
      <c r="A6" s="7">
        <v>3</v>
      </c>
      <c r="B6" s="8">
        <v>41907</v>
      </c>
      <c r="C6" s="9" t="s">
        <v>23</v>
      </c>
      <c r="D6" s="10" t="s">
        <v>24</v>
      </c>
      <c r="E6" s="15">
        <v>-16047.5</v>
      </c>
      <c r="F6" s="16">
        <v>-7.73168855741892</v>
      </c>
      <c r="G6" s="13">
        <v>24.7898243028881</v>
      </c>
      <c r="H6" s="8">
        <v>41908</v>
      </c>
      <c r="I6" s="14">
        <v>2075.5491999999999</v>
      </c>
      <c r="J6" s="8">
        <v>41907</v>
      </c>
    </row>
    <row r="7" spans="1:11" x14ac:dyDescent="0.25">
      <c r="A7" s="7">
        <v>4</v>
      </c>
      <c r="B7" s="8">
        <v>41937</v>
      </c>
      <c r="C7" s="9" t="s">
        <v>25</v>
      </c>
      <c r="D7" s="10" t="s">
        <v>21</v>
      </c>
      <c r="E7" s="11">
        <v>20000</v>
      </c>
      <c r="F7" s="12">
        <v>9.5421850458692798</v>
      </c>
      <c r="G7" s="13">
        <v>34.332009348757403</v>
      </c>
      <c r="H7" s="8">
        <v>41932</v>
      </c>
      <c r="I7" s="14">
        <v>2095.9560000000001</v>
      </c>
      <c r="J7" s="8">
        <v>41937</v>
      </c>
    </row>
    <row r="8" spans="1:11" x14ac:dyDescent="0.25">
      <c r="A8" s="7">
        <v>5</v>
      </c>
      <c r="B8" s="8">
        <v>41937</v>
      </c>
      <c r="C8" s="9" t="s">
        <v>22</v>
      </c>
      <c r="D8" s="10" t="s">
        <v>21</v>
      </c>
      <c r="E8" s="11">
        <v>47500</v>
      </c>
      <c r="F8" s="12">
        <v>22.662689483939499</v>
      </c>
      <c r="G8" s="13">
        <v>56.994698832696997</v>
      </c>
      <c r="H8" s="8">
        <v>41932</v>
      </c>
      <c r="I8" s="14">
        <v>2095.9560000000001</v>
      </c>
      <c r="J8" s="8">
        <v>41937</v>
      </c>
    </row>
    <row r="9" spans="1:11" x14ac:dyDescent="0.25">
      <c r="A9" s="7">
        <v>6</v>
      </c>
      <c r="B9" s="8">
        <v>41937</v>
      </c>
      <c r="C9" s="9" t="s">
        <v>26</v>
      </c>
      <c r="D9" s="10" t="s">
        <v>24</v>
      </c>
      <c r="E9" s="15">
        <v>-14486.03</v>
      </c>
      <c r="F9" s="16">
        <v>-6.9195165309515696</v>
      </c>
      <c r="G9" s="13">
        <v>50.0751823017454</v>
      </c>
      <c r="H9" s="8">
        <v>41939</v>
      </c>
      <c r="I9" s="14">
        <v>2093.5032000000001</v>
      </c>
      <c r="J9" s="8">
        <v>41937</v>
      </c>
    </row>
    <row r="10" spans="1:11" x14ac:dyDescent="0.25">
      <c r="A10" s="7">
        <v>7</v>
      </c>
      <c r="B10" s="8">
        <v>41968</v>
      </c>
      <c r="C10" s="9" t="s">
        <v>25</v>
      </c>
      <c r="D10" s="10" t="s">
        <v>21</v>
      </c>
      <c r="E10" s="11">
        <v>20400</v>
      </c>
      <c r="F10" s="12">
        <v>9.7179827125662204</v>
      </c>
      <c r="G10" s="13">
        <v>59.793165014311597</v>
      </c>
      <c r="H10" s="8">
        <v>41941</v>
      </c>
      <c r="I10" s="14">
        <v>2099.2011000000002</v>
      </c>
      <c r="J10" s="8">
        <v>41968</v>
      </c>
    </row>
    <row r="11" spans="1:11" x14ac:dyDescent="0.25">
      <c r="A11" s="7">
        <v>8</v>
      </c>
      <c r="B11" s="8">
        <v>41968</v>
      </c>
      <c r="C11" s="9" t="s">
        <v>22</v>
      </c>
      <c r="D11" s="10" t="s">
        <v>21</v>
      </c>
      <c r="E11" s="11">
        <v>48450</v>
      </c>
      <c r="F11" s="12">
        <v>23.0802089423448</v>
      </c>
      <c r="G11" s="13">
        <v>82.873373956656394</v>
      </c>
      <c r="H11" s="8">
        <v>41941</v>
      </c>
      <c r="I11" s="14">
        <v>2099.2011000000002</v>
      </c>
      <c r="J11" s="8">
        <v>41968</v>
      </c>
    </row>
    <row r="12" spans="1:11" x14ac:dyDescent="0.25">
      <c r="A12" s="7">
        <v>9</v>
      </c>
      <c r="B12" s="8">
        <v>41968</v>
      </c>
      <c r="C12" s="9" t="s">
        <v>27</v>
      </c>
      <c r="D12" s="10" t="s">
        <v>24</v>
      </c>
      <c r="E12" s="15">
        <v>-14406.78</v>
      </c>
      <c r="F12" s="16">
        <v>-6.8257056199294102</v>
      </c>
      <c r="G12" s="13">
        <v>76.047668336727</v>
      </c>
      <c r="H12" s="8">
        <v>41969</v>
      </c>
      <c r="I12" s="14">
        <v>2110.6653000000001</v>
      </c>
      <c r="J12" s="8">
        <v>41968</v>
      </c>
    </row>
    <row r="13" spans="1:11" x14ac:dyDescent="0.25">
      <c r="A13" s="7">
        <v>10</v>
      </c>
      <c r="B13" s="8">
        <v>41998</v>
      </c>
      <c r="C13" s="9" t="s">
        <v>25</v>
      </c>
      <c r="D13" s="10" t="s">
        <v>21</v>
      </c>
      <c r="E13" s="11">
        <v>19599.951334379999</v>
      </c>
      <c r="F13" s="12">
        <v>9.2581000000000007</v>
      </c>
      <c r="G13" s="13">
        <v>85.305768336726999</v>
      </c>
      <c r="H13" s="8">
        <v>42012</v>
      </c>
      <c r="I13" s="14">
        <v>2117.0598</v>
      </c>
      <c r="J13" s="8">
        <v>41998</v>
      </c>
    </row>
    <row r="14" spans="1:11" x14ac:dyDescent="0.25">
      <c r="A14" s="7">
        <v>11</v>
      </c>
      <c r="B14" s="8">
        <v>41998</v>
      </c>
      <c r="C14" s="9" t="s">
        <v>22</v>
      </c>
      <c r="D14" s="10" t="s">
        <v>21</v>
      </c>
      <c r="E14" s="11">
        <v>46549.9108824</v>
      </c>
      <c r="F14" s="12">
        <v>21.988</v>
      </c>
      <c r="G14" s="13">
        <v>107.293768336727</v>
      </c>
      <c r="H14" s="8">
        <v>42012</v>
      </c>
      <c r="I14" s="14">
        <v>2117.0598</v>
      </c>
      <c r="J14" s="8">
        <v>41998</v>
      </c>
    </row>
    <row r="15" spans="1:11" x14ac:dyDescent="0.25">
      <c r="A15" s="7">
        <v>12</v>
      </c>
      <c r="B15" s="8">
        <v>41998</v>
      </c>
      <c r="C15" s="9" t="s">
        <v>28</v>
      </c>
      <c r="D15" s="10" t="s">
        <v>24</v>
      </c>
      <c r="E15" s="15">
        <v>-14306.54</v>
      </c>
      <c r="F15" s="16">
        <v>-6.7831684583667098</v>
      </c>
      <c r="G15" s="13">
        <v>100.51059987836</v>
      </c>
      <c r="H15" s="8">
        <v>42002</v>
      </c>
      <c r="I15" s="14">
        <v>2109.1235000000001</v>
      </c>
      <c r="J15" s="8">
        <v>41998</v>
      </c>
    </row>
    <row r="16" spans="1:11" x14ac:dyDescent="0.25">
      <c r="A16" s="7">
        <v>13</v>
      </c>
      <c r="B16" s="8">
        <v>42029</v>
      </c>
      <c r="C16" s="9" t="s">
        <v>25</v>
      </c>
      <c r="D16" s="10" t="s">
        <v>21</v>
      </c>
      <c r="E16" s="11">
        <v>19599.994511879999</v>
      </c>
      <c r="F16" s="12">
        <v>9.2396999999999991</v>
      </c>
      <c r="G16" s="13">
        <v>109.75029987836</v>
      </c>
      <c r="H16" s="8">
        <v>42026</v>
      </c>
      <c r="I16" s="14">
        <v>2121.2804000000001</v>
      </c>
      <c r="J16" s="8">
        <v>42029</v>
      </c>
    </row>
    <row r="17" spans="1:10" x14ac:dyDescent="0.25">
      <c r="A17" s="7">
        <v>14</v>
      </c>
      <c r="B17" s="8">
        <v>42029</v>
      </c>
      <c r="C17" s="9" t="s">
        <v>22</v>
      </c>
      <c r="D17" s="10" t="s">
        <v>21</v>
      </c>
      <c r="E17" s="11">
        <v>46550.013481720001</v>
      </c>
      <c r="F17" s="12">
        <v>21.944299999999998</v>
      </c>
      <c r="G17" s="13">
        <v>131.69459987836001</v>
      </c>
      <c r="H17" s="8">
        <v>42026</v>
      </c>
      <c r="I17" s="14">
        <v>2121.2804000000001</v>
      </c>
      <c r="J17" s="8">
        <v>42029</v>
      </c>
    </row>
    <row r="18" spans="1:10" x14ac:dyDescent="0.25">
      <c r="A18" s="7">
        <v>15</v>
      </c>
      <c r="B18" s="8">
        <v>42029</v>
      </c>
      <c r="C18" s="9" t="s">
        <v>29</v>
      </c>
      <c r="D18" s="10" t="s">
        <v>24</v>
      </c>
      <c r="E18" s="15">
        <v>-13999.45628025</v>
      </c>
      <c r="F18" s="16">
        <v>-6.6044999999999998</v>
      </c>
      <c r="G18" s="13">
        <v>125.09009987835999</v>
      </c>
      <c r="H18" s="8">
        <v>42030</v>
      </c>
      <c r="I18" s="14">
        <v>2119.6844999999998</v>
      </c>
      <c r="J18" s="8">
        <v>42029</v>
      </c>
    </row>
    <row r="19" spans="1:10" x14ac:dyDescent="0.25">
      <c r="A19" s="7">
        <v>16</v>
      </c>
      <c r="B19" s="8">
        <v>42060</v>
      </c>
      <c r="C19" s="9" t="s">
        <v>25</v>
      </c>
      <c r="D19" s="10" t="s">
        <v>21</v>
      </c>
      <c r="E19" s="11">
        <v>19200.052049919999</v>
      </c>
      <c r="F19" s="12">
        <v>9.0884</v>
      </c>
      <c r="G19" s="13">
        <v>134.17849987835999</v>
      </c>
      <c r="H19" s="8">
        <v>42040</v>
      </c>
      <c r="I19" s="14">
        <v>2112.5888</v>
      </c>
      <c r="J19" s="8">
        <v>42060</v>
      </c>
    </row>
    <row r="20" spans="1:10" x14ac:dyDescent="0.25">
      <c r="A20" s="7">
        <v>17</v>
      </c>
      <c r="B20" s="8">
        <v>42060</v>
      </c>
      <c r="C20" s="9" t="s">
        <v>22</v>
      </c>
      <c r="D20" s="10" t="s">
        <v>21</v>
      </c>
      <c r="E20" s="11">
        <v>45600.017989120002</v>
      </c>
      <c r="F20" s="12">
        <v>21.584900000000001</v>
      </c>
      <c r="G20" s="13">
        <v>155.76339987835999</v>
      </c>
      <c r="H20" s="8">
        <v>42040</v>
      </c>
      <c r="I20" s="14">
        <v>2112.5888</v>
      </c>
      <c r="J20" s="8">
        <v>42060</v>
      </c>
    </row>
    <row r="21" spans="1:10" x14ac:dyDescent="0.25">
      <c r="A21" s="7">
        <v>18</v>
      </c>
      <c r="B21" s="8">
        <v>42060</v>
      </c>
      <c r="C21" s="9" t="s">
        <v>30</v>
      </c>
      <c r="D21" s="10" t="s">
        <v>24</v>
      </c>
      <c r="E21" s="15">
        <v>-13936.124709899999</v>
      </c>
      <c r="F21" s="16">
        <v>-6.4730999999999996</v>
      </c>
      <c r="G21" s="13">
        <v>149.29029987836</v>
      </c>
      <c r="H21" s="8">
        <v>42060</v>
      </c>
      <c r="I21" s="14">
        <v>2152.9290000000001</v>
      </c>
      <c r="J21" s="8">
        <v>42060</v>
      </c>
    </row>
    <row r="22" spans="1:10" x14ac:dyDescent="0.25">
      <c r="A22" s="7">
        <v>19</v>
      </c>
      <c r="B22" s="8">
        <v>42088</v>
      </c>
      <c r="C22" s="9" t="s">
        <v>25</v>
      </c>
      <c r="D22" s="10" t="s">
        <v>21</v>
      </c>
      <c r="E22" s="11">
        <v>19199.960710920001</v>
      </c>
      <c r="F22" s="12">
        <v>8.9675999999999991</v>
      </c>
      <c r="G22" s="13">
        <v>158.25789987836001</v>
      </c>
      <c r="H22" s="8">
        <v>42069</v>
      </c>
      <c r="I22" s="14">
        <v>2141.0367000000001</v>
      </c>
      <c r="J22" s="8">
        <v>42088</v>
      </c>
    </row>
    <row r="23" spans="1:10" x14ac:dyDescent="0.25">
      <c r="A23" s="7">
        <v>20</v>
      </c>
      <c r="B23" s="8">
        <v>42088</v>
      </c>
      <c r="C23" s="9" t="s">
        <v>22</v>
      </c>
      <c r="D23" s="10" t="s">
        <v>21</v>
      </c>
      <c r="E23" s="11">
        <v>45600.013740269998</v>
      </c>
      <c r="F23" s="12">
        <v>21.298100000000002</v>
      </c>
      <c r="G23" s="13">
        <v>179.55599987836001</v>
      </c>
      <c r="H23" s="8">
        <v>42069</v>
      </c>
      <c r="I23" s="14">
        <v>2141.0367000000001</v>
      </c>
      <c r="J23" s="8">
        <v>42088</v>
      </c>
    </row>
    <row r="24" spans="1:10" x14ac:dyDescent="0.25">
      <c r="A24" s="7">
        <v>21</v>
      </c>
      <c r="B24" s="8">
        <v>42088</v>
      </c>
      <c r="C24" s="9" t="s">
        <v>31</v>
      </c>
      <c r="D24" s="10" t="s">
        <v>24</v>
      </c>
      <c r="E24" s="15">
        <v>-13832.647621939999</v>
      </c>
      <c r="F24" s="16">
        <v>-6.6134000000000004</v>
      </c>
      <c r="G24" s="13">
        <v>172.94259987836</v>
      </c>
      <c r="H24" s="8">
        <v>42088</v>
      </c>
      <c r="I24" s="14">
        <v>2091.6091000000001</v>
      </c>
      <c r="J24" s="8">
        <v>42088</v>
      </c>
    </row>
    <row r="25" spans="1:10" x14ac:dyDescent="0.25">
      <c r="A25" s="7">
        <v>22</v>
      </c>
      <c r="B25" s="8">
        <v>42119</v>
      </c>
      <c r="C25" s="9" t="s">
        <v>25</v>
      </c>
      <c r="D25" s="10" t="s">
        <v>21</v>
      </c>
      <c r="E25" s="11">
        <v>20000.061967729998</v>
      </c>
      <c r="F25" s="12">
        <v>9.5068999999999999</v>
      </c>
      <c r="G25" s="13">
        <v>182.44949987836</v>
      </c>
      <c r="H25" s="8">
        <v>42109</v>
      </c>
      <c r="I25" s="14">
        <v>2103.7417</v>
      </c>
      <c r="J25" s="8">
        <v>42119</v>
      </c>
    </row>
    <row r="26" spans="1:10" x14ac:dyDescent="0.25">
      <c r="A26" s="7">
        <v>23</v>
      </c>
      <c r="B26" s="8">
        <v>42119</v>
      </c>
      <c r="C26" s="9" t="s">
        <v>22</v>
      </c>
      <c r="D26" s="10" t="s">
        <v>21</v>
      </c>
      <c r="E26" s="11">
        <v>47499.963095960004</v>
      </c>
      <c r="F26" s="12">
        <v>22.578800000000001</v>
      </c>
      <c r="G26" s="13">
        <v>205.02829987836</v>
      </c>
      <c r="H26" s="8">
        <v>42109</v>
      </c>
      <c r="I26" s="14">
        <v>2103.7417</v>
      </c>
      <c r="J26" s="8">
        <v>42119</v>
      </c>
    </row>
    <row r="27" spans="1:10" x14ac:dyDescent="0.25">
      <c r="A27" s="7">
        <v>24</v>
      </c>
      <c r="B27" s="8">
        <v>42119</v>
      </c>
      <c r="C27" s="9" t="s">
        <v>32</v>
      </c>
      <c r="D27" s="10" t="s">
        <v>24</v>
      </c>
      <c r="E27" s="15">
        <v>-13843.54585911</v>
      </c>
      <c r="F27" s="16">
        <v>-6.6851000000000003</v>
      </c>
      <c r="G27" s="13">
        <v>198.34319987836</v>
      </c>
      <c r="H27" s="8">
        <v>42123</v>
      </c>
      <c r="I27" s="14">
        <v>2070.8060999999998</v>
      </c>
      <c r="J27" s="8">
        <v>42119</v>
      </c>
    </row>
    <row r="28" spans="1:10" x14ac:dyDescent="0.25">
      <c r="A28" s="7">
        <v>25</v>
      </c>
      <c r="B28" s="8">
        <v>42149</v>
      </c>
      <c r="C28" s="9" t="s">
        <v>25</v>
      </c>
      <c r="D28" s="10" t="s">
        <v>21</v>
      </c>
      <c r="E28" s="11">
        <v>19999.984053929998</v>
      </c>
      <c r="F28" s="12">
        <v>9.6027000000000005</v>
      </c>
      <c r="G28" s="13">
        <v>207.94589987836</v>
      </c>
      <c r="H28" s="8">
        <v>42136</v>
      </c>
      <c r="I28" s="14">
        <v>2082.7458999999999</v>
      </c>
      <c r="J28" s="8">
        <v>42149</v>
      </c>
    </row>
    <row r="29" spans="1:10" x14ac:dyDescent="0.25">
      <c r="A29" s="7">
        <v>26</v>
      </c>
      <c r="B29" s="8">
        <v>42149</v>
      </c>
      <c r="C29" s="9" t="s">
        <v>22</v>
      </c>
      <c r="D29" s="10" t="s">
        <v>21</v>
      </c>
      <c r="E29" s="11">
        <v>47499.936093759999</v>
      </c>
      <c r="F29" s="12">
        <v>22.8064</v>
      </c>
      <c r="G29" s="13">
        <v>230.75229987835999</v>
      </c>
      <c r="H29" s="8">
        <v>42136</v>
      </c>
      <c r="I29" s="14">
        <v>2082.7458999999999</v>
      </c>
      <c r="J29" s="8">
        <v>42149</v>
      </c>
    </row>
    <row r="30" spans="1:10" x14ac:dyDescent="0.25">
      <c r="A30" s="7">
        <v>27</v>
      </c>
      <c r="B30" s="8">
        <v>42149</v>
      </c>
      <c r="C30" s="9" t="s">
        <v>33</v>
      </c>
      <c r="D30" s="10" t="s">
        <v>24</v>
      </c>
      <c r="E30" s="15">
        <v>-13895.85912614</v>
      </c>
      <c r="F30" s="16">
        <v>-6.6383000000000001</v>
      </c>
      <c r="G30" s="13">
        <v>224.11399987836</v>
      </c>
      <c r="H30" s="8">
        <v>42149</v>
      </c>
      <c r="I30" s="14">
        <v>2093.2858000000001</v>
      </c>
      <c r="J30" s="8">
        <v>42149</v>
      </c>
    </row>
    <row r="31" spans="1:10" x14ac:dyDescent="0.25">
      <c r="A31" s="7">
        <v>28</v>
      </c>
      <c r="B31" s="8">
        <v>42180</v>
      </c>
      <c r="C31" s="9" t="s">
        <v>25</v>
      </c>
      <c r="D31" s="10" t="s">
        <v>21</v>
      </c>
      <c r="E31" s="11">
        <v>20000.01179936</v>
      </c>
      <c r="F31" s="12">
        <v>9.8607999999999993</v>
      </c>
      <c r="G31" s="13">
        <v>233.97479987835999</v>
      </c>
      <c r="H31" s="8">
        <v>42171</v>
      </c>
      <c r="I31" s="14">
        <v>2028.2342000000001</v>
      </c>
      <c r="J31" s="8">
        <v>42180</v>
      </c>
    </row>
    <row r="32" spans="1:10" x14ac:dyDescent="0.25">
      <c r="A32" s="7">
        <v>29</v>
      </c>
      <c r="B32" s="8">
        <v>42180</v>
      </c>
      <c r="C32" s="9" t="s">
        <v>22</v>
      </c>
      <c r="D32" s="10" t="s">
        <v>21</v>
      </c>
      <c r="E32" s="11">
        <v>47500.028023480001</v>
      </c>
      <c r="F32" s="12">
        <v>23.4194</v>
      </c>
      <c r="G32" s="13">
        <v>257.39419987835998</v>
      </c>
      <c r="H32" s="8">
        <v>42171</v>
      </c>
      <c r="I32" s="14">
        <v>2028.2342000000001</v>
      </c>
      <c r="J32" s="8">
        <v>42180</v>
      </c>
    </row>
    <row r="33" spans="1:10" x14ac:dyDescent="0.25">
      <c r="A33" s="7">
        <v>30</v>
      </c>
      <c r="B33" s="8">
        <v>42180</v>
      </c>
      <c r="C33" s="9" t="s">
        <v>34</v>
      </c>
      <c r="D33" s="10" t="s">
        <v>24</v>
      </c>
      <c r="E33" s="15">
        <v>-14162.0827004</v>
      </c>
      <c r="F33" s="16">
        <v>-6.9447999999999999</v>
      </c>
      <c r="G33" s="13">
        <v>250.44939987836</v>
      </c>
      <c r="H33" s="8">
        <v>42180</v>
      </c>
      <c r="I33" s="14">
        <v>2039.2355</v>
      </c>
      <c r="J33" s="8">
        <v>42180</v>
      </c>
    </row>
    <row r="34" spans="1:10" x14ac:dyDescent="0.25">
      <c r="A34" s="7">
        <v>31</v>
      </c>
      <c r="B34" s="8">
        <v>42210</v>
      </c>
      <c r="C34" s="9" t="s">
        <v>25</v>
      </c>
      <c r="D34" s="10" t="s">
        <v>21</v>
      </c>
      <c r="E34" s="11">
        <v>19999.949305329999</v>
      </c>
      <c r="F34" s="12">
        <v>9.8369</v>
      </c>
      <c r="G34" s="13">
        <v>260.28629987836001</v>
      </c>
      <c r="H34" s="8">
        <v>42195</v>
      </c>
      <c r="I34" s="14">
        <v>2033.1557</v>
      </c>
      <c r="J34" s="8">
        <v>42210</v>
      </c>
    </row>
    <row r="35" spans="1:10" x14ac:dyDescent="0.25">
      <c r="A35" s="7">
        <v>32</v>
      </c>
      <c r="B35" s="8">
        <v>42210</v>
      </c>
      <c r="C35" s="9" t="s">
        <v>22</v>
      </c>
      <c r="D35" s="10" t="s">
        <v>21</v>
      </c>
      <c r="E35" s="11">
        <v>47500.006672390002</v>
      </c>
      <c r="F35" s="12">
        <v>23.3627</v>
      </c>
      <c r="G35" s="13">
        <v>283.64899987835997</v>
      </c>
      <c r="H35" s="8">
        <v>42195</v>
      </c>
      <c r="I35" s="14">
        <v>2033.1557</v>
      </c>
      <c r="J35" s="8">
        <v>42210</v>
      </c>
    </row>
    <row r="36" spans="1:10" x14ac:dyDescent="0.25">
      <c r="A36" s="7">
        <v>33</v>
      </c>
      <c r="B36" s="8">
        <v>42210</v>
      </c>
      <c r="C36" s="9" t="s">
        <v>35</v>
      </c>
      <c r="D36" s="10" t="s">
        <v>24</v>
      </c>
      <c r="E36" s="15">
        <v>-14204.738312490001</v>
      </c>
      <c r="F36" s="16">
        <v>-7.0652999999999997</v>
      </c>
      <c r="G36" s="13">
        <v>276.58369987835999</v>
      </c>
      <c r="H36" s="8">
        <v>42212</v>
      </c>
      <c r="I36" s="14">
        <v>2010.4933000000001</v>
      </c>
      <c r="J36" s="8">
        <v>42210</v>
      </c>
    </row>
    <row r="37" spans="1:10" x14ac:dyDescent="0.25">
      <c r="A37" s="7">
        <v>34</v>
      </c>
      <c r="B37" s="8">
        <v>42241</v>
      </c>
      <c r="C37" s="9" t="s">
        <v>25</v>
      </c>
      <c r="D37" s="10" t="s">
        <v>21</v>
      </c>
      <c r="E37" s="11">
        <v>19999.997692659999</v>
      </c>
      <c r="F37" s="12">
        <v>10.2379</v>
      </c>
      <c r="G37" s="13">
        <v>286.82159987836002</v>
      </c>
      <c r="H37" s="8">
        <v>42236</v>
      </c>
      <c r="I37" s="14">
        <v>1953.5254</v>
      </c>
      <c r="J37" s="8">
        <v>42241</v>
      </c>
    </row>
    <row r="38" spans="1:10" x14ac:dyDescent="0.25">
      <c r="A38" s="7">
        <v>35</v>
      </c>
      <c r="B38" s="8">
        <v>42241</v>
      </c>
      <c r="C38" s="9" t="s">
        <v>22</v>
      </c>
      <c r="D38" s="10" t="s">
        <v>21</v>
      </c>
      <c r="E38" s="11">
        <v>47499.970100999999</v>
      </c>
      <c r="F38" s="12">
        <v>24.315000000000001</v>
      </c>
      <c r="G38" s="13">
        <v>311.13659987836002</v>
      </c>
      <c r="H38" s="8">
        <v>42236</v>
      </c>
      <c r="I38" s="14">
        <v>1953.5254</v>
      </c>
      <c r="J38" s="8">
        <v>42241</v>
      </c>
    </row>
    <row r="39" spans="1:10" x14ac:dyDescent="0.25">
      <c r="A39" s="7">
        <v>36</v>
      </c>
      <c r="B39" s="8">
        <v>42241</v>
      </c>
      <c r="C39" s="9" t="s">
        <v>64</v>
      </c>
      <c r="D39" s="10" t="s">
        <v>24</v>
      </c>
      <c r="E39" s="15">
        <v>-13694.537455830001</v>
      </c>
      <c r="F39" s="16">
        <v>-7.0652999999999997</v>
      </c>
      <c r="G39" s="13">
        <v>304.07129987835998</v>
      </c>
      <c r="H39" s="8">
        <v>42243</v>
      </c>
      <c r="I39" s="14">
        <v>1938.2810999999999</v>
      </c>
      <c r="J39" s="8">
        <v>42241</v>
      </c>
    </row>
    <row r="40" spans="1:10" x14ac:dyDescent="0.25">
      <c r="A40" s="7">
        <v>37</v>
      </c>
      <c r="B40" s="8">
        <v>42272</v>
      </c>
      <c r="C40" s="9" t="s">
        <v>37</v>
      </c>
      <c r="D40" s="10" t="s">
        <v>21</v>
      </c>
      <c r="E40" s="11">
        <v>49999.95257868</v>
      </c>
      <c r="F40" s="12">
        <v>25.5716</v>
      </c>
      <c r="G40" s="13">
        <v>329.64289987836003</v>
      </c>
      <c r="H40" s="8">
        <v>42263</v>
      </c>
      <c r="I40" s="14">
        <v>1955.2923000000001</v>
      </c>
      <c r="J40" s="8">
        <v>42272</v>
      </c>
    </row>
    <row r="41" spans="1:10" x14ac:dyDescent="0.25">
      <c r="A41" s="7">
        <v>38</v>
      </c>
      <c r="B41" s="8">
        <v>42272</v>
      </c>
      <c r="C41" s="9" t="s">
        <v>38</v>
      </c>
      <c r="D41" s="10" t="s">
        <v>21</v>
      </c>
      <c r="E41" s="11">
        <v>47500.000870399999</v>
      </c>
      <c r="F41" s="12">
        <v>24.256</v>
      </c>
      <c r="G41" s="13">
        <v>353.89889987836</v>
      </c>
      <c r="H41" s="8">
        <v>42333</v>
      </c>
      <c r="I41" s="14">
        <v>1958.2783999999999</v>
      </c>
      <c r="J41" s="8">
        <v>42272</v>
      </c>
    </row>
    <row r="42" spans="1:10" x14ac:dyDescent="0.25">
      <c r="A42" s="7">
        <v>39</v>
      </c>
      <c r="B42" s="8">
        <v>42272</v>
      </c>
      <c r="C42" s="9" t="s">
        <v>39</v>
      </c>
      <c r="D42" s="10" t="s">
        <v>24</v>
      </c>
      <c r="E42" s="15">
        <v>-15471.362295299999</v>
      </c>
      <c r="F42" s="16">
        <v>-7.9698000000000002</v>
      </c>
      <c r="G42" s="13">
        <v>345.92909987835998</v>
      </c>
      <c r="H42" s="8">
        <v>42272</v>
      </c>
      <c r="I42" s="14">
        <v>1941.2484999999999</v>
      </c>
      <c r="J42" s="8">
        <v>42272</v>
      </c>
    </row>
    <row r="43" spans="1:10" x14ac:dyDescent="0.25">
      <c r="A43" s="7">
        <v>40</v>
      </c>
      <c r="B43" s="8">
        <v>42272</v>
      </c>
      <c r="C43" s="9" t="s">
        <v>40</v>
      </c>
      <c r="D43" s="10" t="s">
        <v>24</v>
      </c>
      <c r="E43" s="15">
        <v>-12744.6846522</v>
      </c>
      <c r="F43" s="16">
        <v>-6.5651999999999999</v>
      </c>
      <c r="G43" s="13">
        <v>339.36389987835997</v>
      </c>
      <c r="H43" s="8">
        <v>42272</v>
      </c>
      <c r="I43" s="14">
        <v>1941.2484999999999</v>
      </c>
      <c r="J43" s="8">
        <v>42272</v>
      </c>
    </row>
    <row r="44" spans="1:10" x14ac:dyDescent="0.25">
      <c r="A44" s="7">
        <v>41</v>
      </c>
      <c r="B44" s="8">
        <v>42302</v>
      </c>
      <c r="C44" s="9" t="s">
        <v>37</v>
      </c>
      <c r="D44" s="10" t="s">
        <v>21</v>
      </c>
      <c r="E44" s="11">
        <v>50000.020269430002</v>
      </c>
      <c r="F44" s="12">
        <v>25.270299999999999</v>
      </c>
      <c r="G44" s="13">
        <v>364.63419987835999</v>
      </c>
      <c r="H44" s="8">
        <v>42290</v>
      </c>
      <c r="I44" s="14">
        <v>1978.6080999999999</v>
      </c>
      <c r="J44" s="8">
        <v>42302</v>
      </c>
    </row>
    <row r="45" spans="1:10" x14ac:dyDescent="0.25">
      <c r="A45" s="7">
        <v>42</v>
      </c>
      <c r="B45" s="8">
        <v>42302</v>
      </c>
      <c r="C45" s="9" t="s">
        <v>38</v>
      </c>
      <c r="D45" s="10" t="s">
        <v>21</v>
      </c>
      <c r="E45" s="11">
        <v>47500.048935079998</v>
      </c>
      <c r="F45" s="12">
        <v>24.006799999999998</v>
      </c>
      <c r="G45" s="13">
        <v>388.64099987835999</v>
      </c>
      <c r="H45" s="8">
        <v>42290</v>
      </c>
      <c r="I45" s="14">
        <v>1978.6080999999999</v>
      </c>
      <c r="J45" s="8">
        <v>42302</v>
      </c>
    </row>
    <row r="46" spans="1:10" x14ac:dyDescent="0.25">
      <c r="A46" s="7">
        <v>43</v>
      </c>
      <c r="B46" s="8">
        <v>42302</v>
      </c>
      <c r="C46" s="9" t="s">
        <v>41</v>
      </c>
      <c r="D46" s="10" t="s">
        <v>24</v>
      </c>
      <c r="E46" s="15">
        <v>-15241.504005000001</v>
      </c>
      <c r="F46" s="16">
        <v>-7.6218000000000004</v>
      </c>
      <c r="G46" s="13">
        <v>381.01919987835998</v>
      </c>
      <c r="H46" s="8">
        <v>42303</v>
      </c>
      <c r="I46" s="14">
        <v>1999.7249999999999</v>
      </c>
      <c r="J46" s="8">
        <v>42302</v>
      </c>
    </row>
    <row r="47" spans="1:10" x14ac:dyDescent="0.25">
      <c r="A47" s="7">
        <v>44</v>
      </c>
      <c r="B47" s="8">
        <v>42302</v>
      </c>
      <c r="C47" s="9" t="s">
        <v>42</v>
      </c>
      <c r="D47" s="10" t="s">
        <v>24</v>
      </c>
      <c r="E47" s="15">
        <v>-12555.273412500001</v>
      </c>
      <c r="F47" s="16">
        <v>-6.2785000000000002</v>
      </c>
      <c r="G47" s="13">
        <v>374.74069987835998</v>
      </c>
      <c r="H47" s="8">
        <v>42303</v>
      </c>
      <c r="I47" s="14">
        <v>1999.7249999999999</v>
      </c>
      <c r="J47" s="8">
        <v>42302</v>
      </c>
    </row>
    <row r="48" spans="1:10" x14ac:dyDescent="0.25">
      <c r="A48" s="7">
        <v>45</v>
      </c>
      <c r="B48" s="8">
        <v>42333</v>
      </c>
      <c r="C48" s="9" t="s">
        <v>37</v>
      </c>
      <c r="D48" s="10" t="s">
        <v>21</v>
      </c>
      <c r="E48" s="11">
        <v>49999.90454802</v>
      </c>
      <c r="F48" s="12">
        <v>25.190200000000001</v>
      </c>
      <c r="G48" s="13">
        <v>399.93089987835998</v>
      </c>
      <c r="H48" s="8">
        <v>42318</v>
      </c>
      <c r="I48" s="14">
        <v>1984.8951</v>
      </c>
      <c r="J48" s="8">
        <v>42333</v>
      </c>
    </row>
    <row r="49" spans="1:10" x14ac:dyDescent="0.25">
      <c r="A49" s="7">
        <v>46</v>
      </c>
      <c r="B49" s="8">
        <v>42333</v>
      </c>
      <c r="C49" s="9" t="s">
        <v>38</v>
      </c>
      <c r="D49" s="10" t="s">
        <v>21</v>
      </c>
      <c r="E49" s="11">
        <v>47499.929169570001</v>
      </c>
      <c r="F49" s="12">
        <v>23.930700000000002</v>
      </c>
      <c r="G49" s="13">
        <v>423.86159987835998</v>
      </c>
      <c r="H49" s="8">
        <v>42318</v>
      </c>
      <c r="I49" s="14">
        <v>1984.8951</v>
      </c>
      <c r="J49" s="8">
        <v>42333</v>
      </c>
    </row>
    <row r="50" spans="1:10" x14ac:dyDescent="0.25">
      <c r="A50" s="7">
        <v>47</v>
      </c>
      <c r="B50" s="8">
        <v>42333</v>
      </c>
      <c r="C50" s="9" t="s">
        <v>43</v>
      </c>
      <c r="D50" s="10" t="s">
        <v>24</v>
      </c>
      <c r="E50" s="15">
        <v>-15184.4907136</v>
      </c>
      <c r="F50" s="16">
        <v>-7.7539999999999996</v>
      </c>
      <c r="G50" s="13">
        <v>416.10759987836002</v>
      </c>
      <c r="H50" s="8">
        <v>42333</v>
      </c>
      <c r="I50" s="14">
        <v>1958.2783999999999</v>
      </c>
      <c r="J50" s="8">
        <v>42333</v>
      </c>
    </row>
    <row r="51" spans="1:10" x14ac:dyDescent="0.25">
      <c r="A51" s="7">
        <v>48</v>
      </c>
      <c r="B51" s="8">
        <v>42333</v>
      </c>
      <c r="C51" s="9" t="s">
        <v>44</v>
      </c>
      <c r="D51" s="10" t="s">
        <v>24</v>
      </c>
      <c r="E51" s="15">
        <v>-12508.307452159999</v>
      </c>
      <c r="F51" s="16">
        <v>-6.3874000000000004</v>
      </c>
      <c r="G51" s="13">
        <v>409.72019987836001</v>
      </c>
      <c r="H51" s="8">
        <v>42333</v>
      </c>
      <c r="I51" s="14">
        <v>1958.2783999999999</v>
      </c>
      <c r="J51" s="8">
        <v>42333</v>
      </c>
    </row>
    <row r="52" spans="1:10" x14ac:dyDescent="0.25">
      <c r="A52" s="7">
        <v>49</v>
      </c>
      <c r="B52" s="8">
        <v>42361</v>
      </c>
      <c r="C52" s="9" t="s">
        <v>45</v>
      </c>
      <c r="D52" s="10" t="s">
        <v>21</v>
      </c>
      <c r="E52" s="11">
        <v>72.555251249999998</v>
      </c>
      <c r="F52" s="12">
        <v>3.7499999999999999E-2</v>
      </c>
      <c r="G52" s="13">
        <v>409.75769987835997</v>
      </c>
      <c r="H52" s="8">
        <v>42366</v>
      </c>
      <c r="I52" s="14">
        <v>1934.8067000000001</v>
      </c>
      <c r="J52" s="8">
        <v>42361</v>
      </c>
    </row>
    <row r="53" spans="1:10" x14ac:dyDescent="0.25">
      <c r="A53" s="7">
        <v>50</v>
      </c>
      <c r="B53" s="8">
        <v>42363</v>
      </c>
      <c r="C53" s="9" t="s">
        <v>37</v>
      </c>
      <c r="D53" s="10" t="s">
        <v>21</v>
      </c>
      <c r="E53" s="11">
        <v>49999.935879780001</v>
      </c>
      <c r="F53" s="12">
        <v>25.9621</v>
      </c>
      <c r="G53" s="13">
        <v>435.71979987835999</v>
      </c>
      <c r="H53" s="8">
        <v>42354</v>
      </c>
      <c r="I53" s="14">
        <v>1925.8818000000001</v>
      </c>
      <c r="J53" s="8">
        <v>42363</v>
      </c>
    </row>
    <row r="54" spans="1:10" x14ac:dyDescent="0.25">
      <c r="A54" s="7">
        <v>51</v>
      </c>
      <c r="B54" s="8">
        <v>42363</v>
      </c>
      <c r="C54" s="9" t="s">
        <v>38</v>
      </c>
      <c r="D54" s="10" t="s">
        <v>21</v>
      </c>
      <c r="E54" s="11">
        <v>47499.9487152</v>
      </c>
      <c r="F54" s="12">
        <v>24.664000000000001</v>
      </c>
      <c r="G54" s="13">
        <v>460.38379987835998</v>
      </c>
      <c r="H54" s="8">
        <v>42354</v>
      </c>
      <c r="I54" s="14">
        <v>1925.8818000000001</v>
      </c>
      <c r="J54" s="8">
        <v>42363</v>
      </c>
    </row>
    <row r="55" spans="1:10" x14ac:dyDescent="0.25">
      <c r="A55" s="7">
        <v>52</v>
      </c>
      <c r="B55" s="8">
        <v>42363</v>
      </c>
      <c r="C55" s="9" t="s">
        <v>46</v>
      </c>
      <c r="D55" s="10" t="s">
        <v>24</v>
      </c>
      <c r="E55" s="15">
        <v>-15017.5361904</v>
      </c>
      <c r="F55" s="16">
        <v>-7.7530000000000001</v>
      </c>
      <c r="G55" s="13">
        <v>452.63079987835999</v>
      </c>
      <c r="H55" s="8">
        <v>42367</v>
      </c>
      <c r="I55" s="14">
        <v>1936.9967999999999</v>
      </c>
      <c r="J55" s="8">
        <v>42363</v>
      </c>
    </row>
    <row r="56" spans="1:10" x14ac:dyDescent="0.25">
      <c r="A56" s="7">
        <v>53</v>
      </c>
      <c r="B56" s="8">
        <v>42363</v>
      </c>
      <c r="C56" s="9" t="s">
        <v>47</v>
      </c>
      <c r="D56" s="10" t="s">
        <v>24</v>
      </c>
      <c r="E56" s="15">
        <v>-12370.82376288</v>
      </c>
      <c r="F56" s="16">
        <v>-6.3865999999999996</v>
      </c>
      <c r="G56" s="13">
        <v>446.24419987836001</v>
      </c>
      <c r="H56" s="8">
        <v>42367</v>
      </c>
      <c r="I56" s="14">
        <v>1936.9967999999999</v>
      </c>
      <c r="J56" s="8">
        <v>42363</v>
      </c>
    </row>
    <row r="57" spans="1:10" x14ac:dyDescent="0.25">
      <c r="A57" s="7">
        <v>54</v>
      </c>
      <c r="B57" s="8">
        <v>42394</v>
      </c>
      <c r="C57" s="9" t="s">
        <v>37</v>
      </c>
      <c r="D57" s="10" t="s">
        <v>21</v>
      </c>
      <c r="E57" s="11">
        <v>49999.972969080001</v>
      </c>
      <c r="F57" s="12">
        <v>25.914300000000001</v>
      </c>
      <c r="G57" s="13">
        <v>472.15849987835998</v>
      </c>
      <c r="H57" s="8">
        <v>42356</v>
      </c>
      <c r="I57" s="14">
        <v>1929.4356</v>
      </c>
      <c r="J57" s="8">
        <v>42394</v>
      </c>
    </row>
    <row r="58" spans="1:10" x14ac:dyDescent="0.25">
      <c r="A58" s="7">
        <v>55</v>
      </c>
      <c r="B58" s="8">
        <v>42394</v>
      </c>
      <c r="C58" s="9" t="s">
        <v>38</v>
      </c>
      <c r="D58" s="10" t="s">
        <v>21</v>
      </c>
      <c r="E58" s="11">
        <v>47500.003262159997</v>
      </c>
      <c r="F58" s="12">
        <v>24.618600000000001</v>
      </c>
      <c r="G58" s="13">
        <v>496.77709987836101</v>
      </c>
      <c r="H58" s="8">
        <v>42356</v>
      </c>
      <c r="I58" s="14">
        <v>1929.4356</v>
      </c>
      <c r="J58" s="8">
        <v>42394</v>
      </c>
    </row>
    <row r="59" spans="1:10" x14ac:dyDescent="0.25">
      <c r="A59" s="7">
        <v>56</v>
      </c>
      <c r="B59" s="8">
        <v>42394</v>
      </c>
      <c r="C59" s="9" t="s">
        <v>48</v>
      </c>
      <c r="D59" s="10" t="s">
        <v>24</v>
      </c>
      <c r="E59" s="15">
        <v>-15160.447939260001</v>
      </c>
      <c r="F59" s="16">
        <v>-7.9040999999999997</v>
      </c>
      <c r="G59" s="13">
        <v>488.87299987836002</v>
      </c>
      <c r="H59" s="8">
        <v>42394</v>
      </c>
      <c r="I59" s="14">
        <v>1918.0486000000001</v>
      </c>
      <c r="J59" s="8">
        <v>42394</v>
      </c>
    </row>
    <row r="60" spans="1:10" x14ac:dyDescent="0.25">
      <c r="A60" s="7">
        <v>57</v>
      </c>
      <c r="B60" s="8">
        <v>42394</v>
      </c>
      <c r="C60" s="9" t="s">
        <v>49</v>
      </c>
      <c r="D60" s="10" t="s">
        <v>24</v>
      </c>
      <c r="E60" s="15">
        <v>-12488.414434599999</v>
      </c>
      <c r="F60" s="16">
        <v>-6.5110000000000001</v>
      </c>
      <c r="G60" s="13">
        <v>482.36199987836</v>
      </c>
      <c r="H60" s="8">
        <v>42394</v>
      </c>
      <c r="I60" s="14">
        <v>1918.0486000000001</v>
      </c>
      <c r="J60" s="8">
        <v>42394</v>
      </c>
    </row>
    <row r="61" spans="1:10" x14ac:dyDescent="0.25">
      <c r="A61" s="7">
        <v>58</v>
      </c>
      <c r="B61" s="8">
        <v>42425</v>
      </c>
      <c r="C61" s="9" t="s">
        <v>37</v>
      </c>
      <c r="D61" s="10" t="s">
        <v>21</v>
      </c>
      <c r="E61" s="11">
        <v>49999.970201279997</v>
      </c>
      <c r="F61" s="12">
        <v>25.865400000000001</v>
      </c>
      <c r="G61" s="13">
        <v>508.22739987836002</v>
      </c>
      <c r="H61" s="8">
        <v>42376</v>
      </c>
      <c r="I61" s="14">
        <v>1933.0832</v>
      </c>
      <c r="J61" s="8">
        <v>42425</v>
      </c>
    </row>
    <row r="62" spans="1:10" x14ac:dyDescent="0.25">
      <c r="A62" s="7">
        <v>59</v>
      </c>
      <c r="B62" s="8">
        <v>42425</v>
      </c>
      <c r="C62" s="9" t="s">
        <v>38</v>
      </c>
      <c r="D62" s="10" t="s">
        <v>21</v>
      </c>
      <c r="E62" s="11">
        <v>47499.913698720004</v>
      </c>
      <c r="F62" s="12">
        <v>24.572099999999999</v>
      </c>
      <c r="G62" s="13">
        <v>532.79949987836096</v>
      </c>
      <c r="H62" s="8">
        <v>42376</v>
      </c>
      <c r="I62" s="14">
        <v>1933.0832</v>
      </c>
      <c r="J62" s="8">
        <v>42425</v>
      </c>
    </row>
    <row r="63" spans="1:10" x14ac:dyDescent="0.25">
      <c r="A63" s="7">
        <v>60</v>
      </c>
      <c r="B63" s="8">
        <v>42425</v>
      </c>
      <c r="C63" s="9" t="s">
        <v>50</v>
      </c>
      <c r="D63" s="10" t="s">
        <v>24</v>
      </c>
      <c r="E63" s="15">
        <v>-14670.711553679999</v>
      </c>
      <c r="F63" s="16">
        <v>-7.6467999999999998</v>
      </c>
      <c r="G63" s="13">
        <v>525.15269987836098</v>
      </c>
      <c r="H63" s="8">
        <v>42425</v>
      </c>
      <c r="I63" s="14">
        <v>1918.5426</v>
      </c>
      <c r="J63" s="8">
        <v>42425</v>
      </c>
    </row>
    <row r="64" spans="1:10" x14ac:dyDescent="0.25">
      <c r="A64" s="7">
        <v>61</v>
      </c>
      <c r="B64" s="8">
        <v>42425</v>
      </c>
      <c r="C64" s="9" t="s">
        <v>51</v>
      </c>
      <c r="D64" s="10" t="s">
        <v>24</v>
      </c>
      <c r="E64" s="15">
        <v>-12085.09169166</v>
      </c>
      <c r="F64" s="16">
        <v>-6.2991000000000001</v>
      </c>
      <c r="G64" s="13">
        <v>518.85359987836102</v>
      </c>
      <c r="H64" s="8">
        <v>42425</v>
      </c>
      <c r="I64" s="14">
        <v>1918.5426</v>
      </c>
      <c r="J64" s="8">
        <v>42425</v>
      </c>
    </row>
    <row r="65" spans="1:10" x14ac:dyDescent="0.25">
      <c r="A65" s="7">
        <v>62</v>
      </c>
      <c r="B65" s="8">
        <v>42454</v>
      </c>
      <c r="C65" s="9" t="s">
        <v>37</v>
      </c>
      <c r="D65" s="10" t="s">
        <v>21</v>
      </c>
      <c r="E65" s="11">
        <v>50000.029883579999</v>
      </c>
      <c r="F65" s="12">
        <v>26.0367</v>
      </c>
      <c r="G65" s="13">
        <v>544.89029987836102</v>
      </c>
      <c r="H65" s="8">
        <v>42388</v>
      </c>
      <c r="I65" s="14">
        <v>1920.3674000000001</v>
      </c>
      <c r="J65" s="8">
        <v>42454</v>
      </c>
    </row>
    <row r="66" spans="1:10" x14ac:dyDescent="0.25">
      <c r="A66" s="7">
        <v>63</v>
      </c>
      <c r="B66" s="8">
        <v>42454</v>
      </c>
      <c r="C66" s="9" t="s">
        <v>38</v>
      </c>
      <c r="D66" s="10" t="s">
        <v>21</v>
      </c>
      <c r="E66" s="11">
        <v>47500.09560226</v>
      </c>
      <c r="F66" s="12">
        <v>24.7349</v>
      </c>
      <c r="G66" s="13">
        <v>569.62519987836095</v>
      </c>
      <c r="H66" s="8">
        <v>42388</v>
      </c>
      <c r="I66" s="14">
        <v>1920.3674000000001</v>
      </c>
      <c r="J66" s="8">
        <v>42454</v>
      </c>
    </row>
    <row r="67" spans="1:10" x14ac:dyDescent="0.25">
      <c r="A67" s="7">
        <v>64</v>
      </c>
      <c r="B67" s="8">
        <v>42454</v>
      </c>
      <c r="C67" s="9" t="s">
        <v>52</v>
      </c>
      <c r="D67" s="10" t="s">
        <v>24</v>
      </c>
      <c r="E67" s="15">
        <v>-14222.628596119999</v>
      </c>
      <c r="F67" s="16">
        <v>-7.7881999999999998</v>
      </c>
      <c r="G67" s="13">
        <v>561.83699987836098</v>
      </c>
      <c r="H67" s="8">
        <v>42711</v>
      </c>
      <c r="I67" s="14">
        <v>1826.1766</v>
      </c>
      <c r="J67" s="8">
        <v>42454</v>
      </c>
    </row>
    <row r="68" spans="1:10" x14ac:dyDescent="0.25">
      <c r="A68" s="7">
        <v>65</v>
      </c>
      <c r="B68" s="8">
        <v>42454</v>
      </c>
      <c r="C68" s="9" t="s">
        <v>53</v>
      </c>
      <c r="D68" s="10" t="s">
        <v>24</v>
      </c>
      <c r="E68" s="15">
        <v>-11715.835977299999</v>
      </c>
      <c r="F68" s="16">
        <v>-6.4154999999999998</v>
      </c>
      <c r="G68" s="13">
        <v>555.42149987836103</v>
      </c>
      <c r="H68" s="8">
        <v>42711</v>
      </c>
      <c r="I68" s="14">
        <v>1826.1766</v>
      </c>
      <c r="J68" s="8">
        <v>42454</v>
      </c>
    </row>
    <row r="69" spans="1:10" x14ac:dyDescent="0.25">
      <c r="A69" s="7">
        <v>66</v>
      </c>
      <c r="B69" s="8">
        <v>42485</v>
      </c>
      <c r="C69" s="9" t="s">
        <v>37</v>
      </c>
      <c r="D69" s="10" t="s">
        <v>21</v>
      </c>
      <c r="E69" s="11">
        <v>49999.973652959998</v>
      </c>
      <c r="F69" s="12">
        <v>25.829599999999999</v>
      </c>
      <c r="G69" s="13">
        <v>581.25109987836095</v>
      </c>
      <c r="H69" s="8">
        <v>42417</v>
      </c>
      <c r="I69" s="14">
        <v>1935.7626</v>
      </c>
      <c r="J69" s="8">
        <v>42485</v>
      </c>
    </row>
    <row r="70" spans="1:10" x14ac:dyDescent="0.25">
      <c r="A70" s="7">
        <v>67</v>
      </c>
      <c r="B70" s="8">
        <v>42485</v>
      </c>
      <c r="C70" s="9" t="s">
        <v>38</v>
      </c>
      <c r="D70" s="10" t="s">
        <v>21</v>
      </c>
      <c r="E70" s="11">
        <v>47499.936255059998</v>
      </c>
      <c r="F70" s="12">
        <v>24.5381</v>
      </c>
      <c r="G70" s="13">
        <v>605.78919987836105</v>
      </c>
      <c r="H70" s="8">
        <v>42417</v>
      </c>
      <c r="I70" s="14">
        <v>1935.7626</v>
      </c>
      <c r="J70" s="8">
        <v>42485</v>
      </c>
    </row>
    <row r="71" spans="1:10" x14ac:dyDescent="0.25">
      <c r="A71" s="7">
        <v>68</v>
      </c>
      <c r="B71" s="8">
        <v>42485</v>
      </c>
      <c r="C71" s="9" t="s">
        <v>54</v>
      </c>
      <c r="D71" s="10" t="s">
        <v>24</v>
      </c>
      <c r="E71" s="15">
        <v>-14485.66138971</v>
      </c>
      <c r="F71" s="16">
        <v>-7.2638999999999996</v>
      </c>
      <c r="G71" s="13">
        <v>598.52529987836101</v>
      </c>
      <c r="H71" s="8">
        <v>42485</v>
      </c>
      <c r="I71" s="14">
        <v>1994.1989000000001</v>
      </c>
      <c r="J71" s="8">
        <v>42485</v>
      </c>
    </row>
    <row r="72" spans="1:10" x14ac:dyDescent="0.25">
      <c r="A72" s="7">
        <v>69</v>
      </c>
      <c r="B72" s="8">
        <v>42485</v>
      </c>
      <c r="C72" s="9" t="s">
        <v>55</v>
      </c>
      <c r="D72" s="10" t="s">
        <v>24</v>
      </c>
      <c r="E72" s="15">
        <v>-11932.488538039999</v>
      </c>
      <c r="F72" s="16">
        <v>-5.9836</v>
      </c>
      <c r="G72" s="13">
        <v>592.54169987836099</v>
      </c>
      <c r="H72" s="8">
        <v>42485</v>
      </c>
      <c r="I72" s="14">
        <v>1994.1989000000001</v>
      </c>
      <c r="J72" s="8">
        <v>42485</v>
      </c>
    </row>
    <row r="73" spans="1:10" x14ac:dyDescent="0.25">
      <c r="A73" s="7">
        <v>70</v>
      </c>
      <c r="B73" s="8">
        <v>42515</v>
      </c>
      <c r="C73" s="9" t="s">
        <v>37</v>
      </c>
      <c r="D73" s="10" t="s">
        <v>21</v>
      </c>
      <c r="E73" s="11">
        <v>49999.95840892</v>
      </c>
      <c r="F73" s="12">
        <v>25.560199999999998</v>
      </c>
      <c r="G73" s="13">
        <v>618.101899878361</v>
      </c>
      <c r="H73" s="8">
        <v>42447</v>
      </c>
      <c r="I73" s="14">
        <v>1956.1646000000001</v>
      </c>
      <c r="J73" s="8">
        <v>42515</v>
      </c>
    </row>
    <row r="74" spans="1:10" x14ac:dyDescent="0.25">
      <c r="A74" s="7">
        <v>71</v>
      </c>
      <c r="B74" s="8">
        <v>42515</v>
      </c>
      <c r="C74" s="9" t="s">
        <v>38</v>
      </c>
      <c r="D74" s="10" t="s">
        <v>21</v>
      </c>
      <c r="E74" s="11">
        <v>47499.980050120001</v>
      </c>
      <c r="F74" s="12">
        <v>24.2822</v>
      </c>
      <c r="G74" s="13">
        <v>642.38409987836098</v>
      </c>
      <c r="H74" s="8">
        <v>42447</v>
      </c>
      <c r="I74" s="14">
        <v>1956.1646000000001</v>
      </c>
      <c r="J74" s="8">
        <v>42515</v>
      </c>
    </row>
    <row r="75" spans="1:10" x14ac:dyDescent="0.25">
      <c r="A75" s="7">
        <v>72</v>
      </c>
      <c r="B75" s="8">
        <v>42515</v>
      </c>
      <c r="C75" s="9" t="s">
        <v>56</v>
      </c>
      <c r="D75" s="10" t="s">
        <v>24</v>
      </c>
      <c r="E75" s="15">
        <v>-14550.220301200001</v>
      </c>
      <c r="F75" s="16">
        <v>-7.4245000000000001</v>
      </c>
      <c r="G75" s="13">
        <v>634.95959987836102</v>
      </c>
      <c r="H75" s="8">
        <v>42515</v>
      </c>
      <c r="I75" s="14">
        <v>1959.7575999999999</v>
      </c>
      <c r="J75" s="8">
        <v>42515</v>
      </c>
    </row>
    <row r="76" spans="1:10" x14ac:dyDescent="0.25">
      <c r="A76" s="7">
        <v>73</v>
      </c>
      <c r="B76" s="8">
        <v>42515</v>
      </c>
      <c r="C76" s="9" t="s">
        <v>57</v>
      </c>
      <c r="D76" s="10" t="s">
        <v>24</v>
      </c>
      <c r="E76" s="15">
        <v>-11985.8774816</v>
      </c>
      <c r="F76" s="16">
        <v>-6.1159999999999997</v>
      </c>
      <c r="G76" s="13">
        <v>628.84359987836103</v>
      </c>
      <c r="H76" s="8">
        <v>42515</v>
      </c>
      <c r="I76" s="14">
        <v>1959.7575999999999</v>
      </c>
      <c r="J76" s="8">
        <v>42515</v>
      </c>
    </row>
    <row r="77" spans="1:10" x14ac:dyDescent="0.25">
      <c r="A77" s="7">
        <v>74</v>
      </c>
      <c r="B77" s="8">
        <v>42546</v>
      </c>
      <c r="C77" s="9" t="s">
        <v>37</v>
      </c>
      <c r="D77" s="10" t="s">
        <v>21</v>
      </c>
      <c r="E77" s="11">
        <v>49999.954220159998</v>
      </c>
      <c r="F77" s="12">
        <v>25.183199999999999</v>
      </c>
      <c r="G77" s="13">
        <v>654.02679987836098</v>
      </c>
      <c r="H77" s="8">
        <v>42479</v>
      </c>
      <c r="I77" s="14">
        <v>1985.4487999999999</v>
      </c>
      <c r="J77" s="8">
        <v>42546</v>
      </c>
    </row>
    <row r="78" spans="1:10" x14ac:dyDescent="0.25">
      <c r="A78" s="7">
        <v>75</v>
      </c>
      <c r="B78" s="8">
        <v>42546</v>
      </c>
      <c r="C78" s="9" t="s">
        <v>38</v>
      </c>
      <c r="D78" s="10" t="s">
        <v>21</v>
      </c>
      <c r="E78" s="11">
        <v>47500.075636080001</v>
      </c>
      <c r="F78" s="12">
        <v>23.924099999999999</v>
      </c>
      <c r="G78" s="13">
        <v>677.95089987836104</v>
      </c>
      <c r="H78" s="8">
        <v>42479</v>
      </c>
      <c r="I78" s="14">
        <v>1985.4487999999999</v>
      </c>
      <c r="J78" s="8">
        <v>42546</v>
      </c>
    </row>
    <row r="79" spans="1:10" x14ac:dyDescent="0.25">
      <c r="A79" s="7">
        <v>76</v>
      </c>
      <c r="B79" s="8">
        <v>42546</v>
      </c>
      <c r="C79" s="9" t="s">
        <v>58</v>
      </c>
      <c r="D79" s="10" t="s">
        <v>24</v>
      </c>
      <c r="E79" s="15">
        <v>-14502.29475904</v>
      </c>
      <c r="F79" s="16">
        <v>-7.2775999999999996</v>
      </c>
      <c r="G79" s="13">
        <v>670.67329987836104</v>
      </c>
      <c r="H79" s="8">
        <v>42548</v>
      </c>
      <c r="I79" s="14">
        <v>1992.7303999999999</v>
      </c>
      <c r="J79" s="8">
        <v>42546</v>
      </c>
    </row>
    <row r="80" spans="1:10" x14ac:dyDescent="0.25">
      <c r="A80" s="7">
        <v>77</v>
      </c>
      <c r="B80" s="8">
        <v>42546</v>
      </c>
      <c r="C80" s="9" t="s">
        <v>59</v>
      </c>
      <c r="D80" s="10" t="s">
        <v>24</v>
      </c>
      <c r="E80" s="15">
        <v>-11946.418748</v>
      </c>
      <c r="F80" s="16">
        <v>-5.9950000000000001</v>
      </c>
      <c r="G80" s="13">
        <v>664.67829987836103</v>
      </c>
      <c r="H80" s="8">
        <v>42548</v>
      </c>
      <c r="I80" s="14">
        <v>1992.7303999999999</v>
      </c>
      <c r="J80" s="8">
        <v>42546</v>
      </c>
    </row>
    <row r="81" spans="1:10" x14ac:dyDescent="0.25">
      <c r="A81" s="7">
        <v>78</v>
      </c>
      <c r="B81" s="8">
        <v>42576</v>
      </c>
      <c r="C81" s="9" t="s">
        <v>37</v>
      </c>
      <c r="D81" s="10" t="s">
        <v>21</v>
      </c>
      <c r="E81" s="11">
        <v>49999.939043129998</v>
      </c>
      <c r="F81" s="12">
        <v>25.479900000000001</v>
      </c>
      <c r="G81" s="13">
        <v>690.15819987836096</v>
      </c>
      <c r="H81" s="8">
        <v>42508</v>
      </c>
      <c r="I81" s="14">
        <v>1962.3287</v>
      </c>
      <c r="J81" s="8">
        <v>42576</v>
      </c>
    </row>
    <row r="82" spans="1:10" x14ac:dyDescent="0.25">
      <c r="A82" s="7">
        <v>79</v>
      </c>
      <c r="B82" s="8">
        <v>42576</v>
      </c>
      <c r="C82" s="9" t="s">
        <v>38</v>
      </c>
      <c r="D82" s="10" t="s">
        <v>21</v>
      </c>
      <c r="E82" s="11">
        <v>47499.932279330002</v>
      </c>
      <c r="F82" s="12">
        <v>24.2059</v>
      </c>
      <c r="G82" s="13">
        <v>714.364099878361</v>
      </c>
      <c r="H82" s="8">
        <v>42508</v>
      </c>
      <c r="I82" s="14">
        <v>1962.3287</v>
      </c>
      <c r="J82" s="8">
        <v>42576</v>
      </c>
    </row>
    <row r="83" spans="1:10" x14ac:dyDescent="0.25">
      <c r="A83" s="7">
        <v>80</v>
      </c>
      <c r="B83" s="8">
        <v>42576</v>
      </c>
      <c r="C83" s="9" t="s">
        <v>60</v>
      </c>
      <c r="D83" s="10" t="s">
        <v>24</v>
      </c>
      <c r="E83" s="15">
        <v>-14046.272473749999</v>
      </c>
      <c r="F83" s="16">
        <v>-7.1401000000000003</v>
      </c>
      <c r="G83" s="13">
        <v>707.22399987836104</v>
      </c>
      <c r="H83" s="8">
        <v>42578</v>
      </c>
      <c r="I83" s="14">
        <v>1967.2375</v>
      </c>
      <c r="J83" s="8">
        <v>42576</v>
      </c>
    </row>
    <row r="84" spans="1:10" x14ac:dyDescent="0.25">
      <c r="A84" s="7">
        <v>81</v>
      </c>
      <c r="B84" s="8">
        <v>42576</v>
      </c>
      <c r="C84" s="9" t="s">
        <v>61</v>
      </c>
      <c r="D84" s="10" t="s">
        <v>24</v>
      </c>
      <c r="E84" s="15">
        <v>-11570.70080375</v>
      </c>
      <c r="F84" s="16">
        <v>-5.8817000000000004</v>
      </c>
      <c r="G84" s="13">
        <v>701.34229987836102</v>
      </c>
      <c r="H84" s="8">
        <v>42578</v>
      </c>
      <c r="I84" s="14">
        <v>1967.2375</v>
      </c>
      <c r="J84" s="8">
        <v>42576</v>
      </c>
    </row>
    <row r="85" spans="1:10" x14ac:dyDescent="0.25">
      <c r="A85" s="7">
        <v>82</v>
      </c>
      <c r="B85" s="8">
        <v>42607</v>
      </c>
      <c r="C85" s="9" t="s">
        <v>37</v>
      </c>
      <c r="D85" s="10" t="s">
        <v>21</v>
      </c>
      <c r="E85" s="11">
        <v>50000.031591840001</v>
      </c>
      <c r="F85" s="12">
        <v>24.955200000000001</v>
      </c>
      <c r="G85" s="13">
        <v>726.29749987836101</v>
      </c>
      <c r="H85" s="8">
        <v>42538</v>
      </c>
      <c r="I85" s="14">
        <v>2003.5916999999999</v>
      </c>
      <c r="J85" s="8">
        <v>42607</v>
      </c>
    </row>
    <row r="86" spans="1:10" x14ac:dyDescent="0.25">
      <c r="A86" s="7">
        <v>83</v>
      </c>
      <c r="B86" s="8">
        <v>42607</v>
      </c>
      <c r="C86" s="9" t="s">
        <v>38</v>
      </c>
      <c r="D86" s="10" t="s">
        <v>21</v>
      </c>
      <c r="E86" s="11">
        <v>47499.949868579999</v>
      </c>
      <c r="F86" s="12">
        <v>23.7074</v>
      </c>
      <c r="G86" s="13">
        <v>750.00489987836102</v>
      </c>
      <c r="H86" s="8">
        <v>42538</v>
      </c>
      <c r="I86" s="14">
        <v>2003.5916999999999</v>
      </c>
      <c r="J86" s="8">
        <v>42607</v>
      </c>
    </row>
    <row r="87" spans="1:10" x14ac:dyDescent="0.25">
      <c r="A87" s="7">
        <v>84</v>
      </c>
      <c r="B87" s="8">
        <v>42607</v>
      </c>
      <c r="C87" s="9" t="s">
        <v>62</v>
      </c>
      <c r="D87" s="10" t="s">
        <v>24</v>
      </c>
      <c r="E87" s="15">
        <v>-13794.32752662</v>
      </c>
      <c r="F87" s="16">
        <v>-7.0734000000000004</v>
      </c>
      <c r="G87" s="13">
        <v>742.93149987836102</v>
      </c>
      <c r="H87" s="8">
        <v>42607</v>
      </c>
      <c r="I87" s="14">
        <v>1950.1693</v>
      </c>
      <c r="J87" s="8">
        <v>42607</v>
      </c>
    </row>
    <row r="88" spans="1:10" x14ac:dyDescent="0.25">
      <c r="A88" s="7">
        <v>85</v>
      </c>
      <c r="B88" s="8">
        <v>42607</v>
      </c>
      <c r="C88" s="9" t="s">
        <v>63</v>
      </c>
      <c r="D88" s="10" t="s">
        <v>24</v>
      </c>
      <c r="E88" s="15">
        <v>-11363.05146031</v>
      </c>
      <c r="F88" s="16">
        <v>-5.8266999999999998</v>
      </c>
      <c r="G88" s="13">
        <v>737.10479987836095</v>
      </c>
      <c r="H88" s="8">
        <v>42607</v>
      </c>
      <c r="I88" s="14">
        <v>1950.1693</v>
      </c>
      <c r="J88" s="8">
        <v>42607</v>
      </c>
    </row>
    <row r="89" spans="1:10" x14ac:dyDescent="0.25">
      <c r="A89" s="7">
        <v>86</v>
      </c>
      <c r="B89" s="8">
        <v>42638</v>
      </c>
      <c r="C89" s="9" t="s">
        <v>64</v>
      </c>
      <c r="D89" s="10" t="s">
        <v>21</v>
      </c>
      <c r="E89" s="11">
        <v>593.80550109000001</v>
      </c>
      <c r="F89" s="12">
        <v>0.31578000000000001</v>
      </c>
      <c r="G89" s="13">
        <v>737.42057987836097</v>
      </c>
      <c r="H89" s="8">
        <v>42639</v>
      </c>
      <c r="I89" s="14">
        <v>1880.4404999999999</v>
      </c>
      <c r="J89" s="8">
        <v>42638</v>
      </c>
    </row>
    <row r="90" spans="1:10" x14ac:dyDescent="0.25">
      <c r="A90" s="7">
        <v>87</v>
      </c>
      <c r="B90" s="8">
        <v>42638</v>
      </c>
      <c r="C90" s="9" t="s">
        <v>64</v>
      </c>
      <c r="D90" s="10" t="s">
        <v>21</v>
      </c>
      <c r="E90" s="11">
        <v>753.25745328749997</v>
      </c>
      <c r="F90" s="12">
        <v>0.40057500000000001</v>
      </c>
      <c r="G90" s="13">
        <v>737.82115487836097</v>
      </c>
      <c r="H90" s="8">
        <v>42639</v>
      </c>
      <c r="I90" s="14">
        <v>1880.4404999999999</v>
      </c>
      <c r="J90" s="8">
        <v>42638</v>
      </c>
    </row>
    <row r="91" spans="1:10" x14ac:dyDescent="0.25">
      <c r="A91" s="7">
        <v>88</v>
      </c>
      <c r="B91" s="8">
        <v>42638</v>
      </c>
      <c r="C91" s="9" t="s">
        <v>65</v>
      </c>
      <c r="D91" s="10" t="s">
        <v>21</v>
      </c>
      <c r="E91" s="11">
        <v>74999.940447000001</v>
      </c>
      <c r="F91" s="12">
        <v>37.601399999999998</v>
      </c>
      <c r="G91" s="13">
        <v>775.42255487836098</v>
      </c>
      <c r="H91" s="8">
        <v>42570</v>
      </c>
      <c r="I91" s="14">
        <v>1994.605</v>
      </c>
      <c r="J91" s="8">
        <v>42638</v>
      </c>
    </row>
    <row r="92" spans="1:10" x14ac:dyDescent="0.25">
      <c r="A92" s="7">
        <v>89</v>
      </c>
      <c r="B92" s="8">
        <v>42638</v>
      </c>
      <c r="C92" s="9" t="s">
        <v>66</v>
      </c>
      <c r="D92" s="10" t="s">
        <v>21</v>
      </c>
      <c r="E92" s="11">
        <v>47499.922391</v>
      </c>
      <c r="F92" s="12">
        <v>23.8142</v>
      </c>
      <c r="G92" s="13">
        <v>799.23675487836101</v>
      </c>
      <c r="H92" s="8">
        <v>42570</v>
      </c>
      <c r="I92" s="14">
        <v>1994.605</v>
      </c>
      <c r="J92" s="8">
        <v>42638</v>
      </c>
    </row>
    <row r="93" spans="1:10" x14ac:dyDescent="0.25">
      <c r="A93" s="7">
        <v>90</v>
      </c>
      <c r="B93" s="8">
        <v>42638</v>
      </c>
      <c r="C93" s="9" t="s">
        <v>67</v>
      </c>
      <c r="D93" s="10" t="s">
        <v>24</v>
      </c>
      <c r="E93" s="15">
        <v>-15065.14906575</v>
      </c>
      <c r="F93" s="16">
        <v>-8.0114999999999998</v>
      </c>
      <c r="G93" s="13">
        <v>791.22525487836106</v>
      </c>
      <c r="H93" s="8">
        <v>42639</v>
      </c>
      <c r="I93" s="14">
        <v>1880.4404999999999</v>
      </c>
      <c r="J93" s="8">
        <v>42638</v>
      </c>
    </row>
    <row r="94" spans="1:10" x14ac:dyDescent="0.25">
      <c r="A94" s="7">
        <v>91</v>
      </c>
      <c r="B94" s="8">
        <v>42638</v>
      </c>
      <c r="C94" s="9" t="s">
        <v>68</v>
      </c>
      <c r="D94" s="10" t="s">
        <v>24</v>
      </c>
      <c r="E94" s="15">
        <v>-11876.110021799999</v>
      </c>
      <c r="F94" s="16">
        <v>-6.3155999999999999</v>
      </c>
      <c r="G94" s="13">
        <v>784.90965487836104</v>
      </c>
      <c r="H94" s="8">
        <v>42639</v>
      </c>
      <c r="I94" s="14">
        <v>1880.4404999999999</v>
      </c>
      <c r="J94" s="8">
        <v>42638</v>
      </c>
    </row>
    <row r="95" spans="1:10" x14ac:dyDescent="0.25">
      <c r="A95" s="7">
        <v>92</v>
      </c>
      <c r="B95" s="8">
        <v>42668</v>
      </c>
      <c r="C95" s="9" t="s">
        <v>65</v>
      </c>
      <c r="D95" s="10" t="s">
        <v>21</v>
      </c>
      <c r="E95" s="11">
        <v>74999.936342429995</v>
      </c>
      <c r="F95" s="12">
        <v>38.283299999999997</v>
      </c>
      <c r="G95" s="13">
        <v>823.19295487836098</v>
      </c>
      <c r="H95" s="8">
        <v>42600</v>
      </c>
      <c r="I95" s="14">
        <v>1959.0771</v>
      </c>
      <c r="J95" s="8">
        <v>42668</v>
      </c>
    </row>
    <row r="96" spans="1:10" x14ac:dyDescent="0.25">
      <c r="A96" s="7">
        <v>93</v>
      </c>
      <c r="B96" s="8">
        <v>42668</v>
      </c>
      <c r="C96" s="9" t="s">
        <v>66</v>
      </c>
      <c r="D96" s="10" t="s">
        <v>21</v>
      </c>
      <c r="E96" s="11">
        <v>47499.979274309997</v>
      </c>
      <c r="F96" s="12">
        <v>24.246099999999998</v>
      </c>
      <c r="G96" s="13">
        <v>847.43905487836105</v>
      </c>
      <c r="H96" s="8">
        <v>42600</v>
      </c>
      <c r="I96" s="14">
        <v>1959.0771</v>
      </c>
      <c r="J96" s="8">
        <v>42668</v>
      </c>
    </row>
    <row r="97" spans="1:10" x14ac:dyDescent="0.25">
      <c r="A97" s="7">
        <v>94</v>
      </c>
      <c r="B97" s="8">
        <v>42668</v>
      </c>
      <c r="C97" s="9" t="s">
        <v>64</v>
      </c>
      <c r="D97" s="10" t="s">
        <v>21</v>
      </c>
      <c r="E97" s="11">
        <v>753.45897922150004</v>
      </c>
      <c r="F97" s="12">
        <v>0.40664499999999998</v>
      </c>
      <c r="G97" s="13">
        <v>847.84569987836096</v>
      </c>
      <c r="H97" s="8">
        <v>42668</v>
      </c>
      <c r="I97" s="14">
        <v>1852.8667</v>
      </c>
      <c r="J97" s="8">
        <v>42668</v>
      </c>
    </row>
    <row r="98" spans="1:10" x14ac:dyDescent="0.25">
      <c r="A98" s="7">
        <v>95</v>
      </c>
      <c r="B98" s="8">
        <v>42668</v>
      </c>
      <c r="C98" s="9" t="s">
        <v>64</v>
      </c>
      <c r="D98" s="10" t="s">
        <v>21</v>
      </c>
      <c r="E98" s="11">
        <v>593.9642136855</v>
      </c>
      <c r="F98" s="12">
        <v>0.32056499999999999</v>
      </c>
      <c r="G98" s="13">
        <v>848.16626487836095</v>
      </c>
      <c r="H98" s="8">
        <v>42668</v>
      </c>
      <c r="I98" s="14">
        <v>1852.8667</v>
      </c>
      <c r="J98" s="8">
        <v>42668</v>
      </c>
    </row>
    <row r="99" spans="1:10" x14ac:dyDescent="0.25">
      <c r="A99" s="7">
        <v>96</v>
      </c>
      <c r="B99" s="8">
        <v>42668</v>
      </c>
      <c r="C99" s="9" t="s">
        <v>69</v>
      </c>
      <c r="D99" s="10" t="s">
        <v>24</v>
      </c>
      <c r="E99" s="15">
        <v>-15069.17958443</v>
      </c>
      <c r="F99" s="16">
        <v>-8.1328999999999994</v>
      </c>
      <c r="G99" s="13">
        <v>840.033364878361</v>
      </c>
      <c r="H99" s="8">
        <v>42668</v>
      </c>
      <c r="I99" s="14">
        <v>1852.8667</v>
      </c>
      <c r="J99" s="8">
        <v>42668</v>
      </c>
    </row>
    <row r="100" spans="1:10" x14ac:dyDescent="0.25">
      <c r="A100" s="7">
        <v>97</v>
      </c>
      <c r="B100" s="8">
        <v>42668</v>
      </c>
      <c r="C100" s="9" t="s">
        <v>70</v>
      </c>
      <c r="D100" s="10" t="s">
        <v>24</v>
      </c>
      <c r="E100" s="15">
        <v>-11879.28427371</v>
      </c>
      <c r="F100" s="16">
        <v>-6.4112999999999998</v>
      </c>
      <c r="G100" s="13">
        <v>833.62206487836102</v>
      </c>
      <c r="H100" s="8">
        <v>42668</v>
      </c>
      <c r="I100" s="14">
        <v>1852.8667</v>
      </c>
      <c r="J100" s="8">
        <v>42668</v>
      </c>
    </row>
    <row r="101" spans="1:10" x14ac:dyDescent="0.25">
      <c r="A101" s="7">
        <v>98</v>
      </c>
      <c r="B101" s="8">
        <v>42699</v>
      </c>
      <c r="C101" s="9" t="s">
        <v>65</v>
      </c>
      <c r="D101" s="10" t="s">
        <v>21</v>
      </c>
      <c r="E101" s="11">
        <v>74999.996009280003</v>
      </c>
      <c r="F101" s="12">
        <v>39.094799999999999</v>
      </c>
      <c r="G101" s="13">
        <v>872.71686487836098</v>
      </c>
      <c r="H101" s="8">
        <v>42633</v>
      </c>
      <c r="I101" s="14">
        <v>1918.4136000000001</v>
      </c>
      <c r="J101" s="8">
        <v>42699</v>
      </c>
    </row>
    <row r="102" spans="1:10" x14ac:dyDescent="0.25">
      <c r="A102" s="7">
        <v>99</v>
      </c>
      <c r="B102" s="8">
        <v>42699</v>
      </c>
      <c r="C102" s="9" t="s">
        <v>66</v>
      </c>
      <c r="D102" s="10" t="s">
        <v>21</v>
      </c>
      <c r="E102" s="11">
        <v>47499.920736</v>
      </c>
      <c r="F102" s="12">
        <v>24.76</v>
      </c>
      <c r="G102" s="13">
        <v>897.47686487836097</v>
      </c>
      <c r="H102" s="8">
        <v>42633</v>
      </c>
      <c r="I102" s="14">
        <v>1918.4136000000001</v>
      </c>
      <c r="J102" s="8">
        <v>42699</v>
      </c>
    </row>
    <row r="103" spans="1:10" x14ac:dyDescent="0.25">
      <c r="A103" s="7">
        <v>100</v>
      </c>
      <c r="B103" s="8">
        <v>42699</v>
      </c>
      <c r="C103" s="9" t="s">
        <v>71</v>
      </c>
      <c r="D103" s="10" t="s">
        <v>24</v>
      </c>
      <c r="E103" s="15">
        <v>-15076.905327</v>
      </c>
      <c r="F103" s="16">
        <v>-8.1300000000000008</v>
      </c>
      <c r="G103" s="13">
        <v>889.34686487836098</v>
      </c>
      <c r="H103" s="8">
        <v>42699</v>
      </c>
      <c r="I103" s="14">
        <v>1854.4779000000001</v>
      </c>
      <c r="J103" s="8">
        <v>42699</v>
      </c>
    </row>
    <row r="104" spans="1:10" x14ac:dyDescent="0.25">
      <c r="A104" s="7">
        <v>101</v>
      </c>
      <c r="B104" s="8">
        <v>42699</v>
      </c>
      <c r="C104" s="9" t="s">
        <v>72</v>
      </c>
      <c r="D104" s="10" t="s">
        <v>24</v>
      </c>
      <c r="E104" s="15">
        <v>-11885.348861099999</v>
      </c>
      <c r="F104" s="16">
        <v>-6.4089999999999998</v>
      </c>
      <c r="G104" s="13">
        <v>882.93786487836098</v>
      </c>
      <c r="H104" s="8">
        <v>42699</v>
      </c>
      <c r="I104" s="14">
        <v>1854.4779000000001</v>
      </c>
      <c r="J104" s="8">
        <v>42699</v>
      </c>
    </row>
    <row r="105" spans="1:10" x14ac:dyDescent="0.25">
      <c r="A105" s="7">
        <v>102</v>
      </c>
      <c r="B105" s="8">
        <v>42729</v>
      </c>
      <c r="C105" s="9" t="s">
        <v>65</v>
      </c>
      <c r="D105" s="10" t="s">
        <v>21</v>
      </c>
      <c r="E105" s="11">
        <v>74999.985800480004</v>
      </c>
      <c r="F105" s="12">
        <v>40.991599999999998</v>
      </c>
      <c r="G105" s="13">
        <v>923.92946487836105</v>
      </c>
      <c r="H105" s="8">
        <v>42683</v>
      </c>
      <c r="I105" s="14">
        <v>1829.6428000000001</v>
      </c>
      <c r="J105" s="8">
        <v>42729</v>
      </c>
    </row>
    <row r="106" spans="1:10" x14ac:dyDescent="0.25">
      <c r="A106" s="7">
        <v>103</v>
      </c>
      <c r="B106" s="8">
        <v>42729</v>
      </c>
      <c r="C106" s="9" t="s">
        <v>66</v>
      </c>
      <c r="D106" s="10" t="s">
        <v>21</v>
      </c>
      <c r="E106" s="11">
        <v>47500.08858792</v>
      </c>
      <c r="F106" s="12">
        <v>25.961400000000001</v>
      </c>
      <c r="G106" s="13">
        <v>949.89086487836096</v>
      </c>
      <c r="H106" s="8">
        <v>42683</v>
      </c>
      <c r="I106" s="14">
        <v>1829.6428000000001</v>
      </c>
      <c r="J106" s="8">
        <v>42729</v>
      </c>
    </row>
    <row r="107" spans="1:10" x14ac:dyDescent="0.25">
      <c r="A107" s="7">
        <v>104</v>
      </c>
      <c r="B107" s="8">
        <v>42729</v>
      </c>
      <c r="C107" s="9" t="s">
        <v>73</v>
      </c>
      <c r="D107" s="10" t="s">
        <v>24</v>
      </c>
      <c r="E107" s="15">
        <v>-14972.80014978</v>
      </c>
      <c r="F107" s="16">
        <v>-8.5606000000000009</v>
      </c>
      <c r="G107" s="13">
        <v>941.33026487836105</v>
      </c>
      <c r="H107" s="8">
        <v>42731</v>
      </c>
      <c r="I107" s="14">
        <v>1749.0363</v>
      </c>
      <c r="J107" s="8">
        <v>42729</v>
      </c>
    </row>
    <row r="108" spans="1:10" x14ac:dyDescent="0.25">
      <c r="A108" s="7">
        <v>105</v>
      </c>
      <c r="B108" s="8">
        <v>42729</v>
      </c>
      <c r="C108" s="9" t="s">
        <v>74</v>
      </c>
      <c r="D108" s="10" t="s">
        <v>24</v>
      </c>
      <c r="E108" s="15">
        <v>-11803.371470550001</v>
      </c>
      <c r="F108" s="16">
        <v>-6.7484999999999999</v>
      </c>
      <c r="G108" s="13">
        <v>934.58176487836101</v>
      </c>
      <c r="H108" s="8">
        <v>42731</v>
      </c>
      <c r="I108" s="14">
        <v>1749.0363</v>
      </c>
      <c r="J108" s="8">
        <v>42729</v>
      </c>
    </row>
    <row r="109" spans="1:10" x14ac:dyDescent="0.25">
      <c r="A109" s="7">
        <v>106</v>
      </c>
      <c r="B109" s="8">
        <v>42760</v>
      </c>
      <c r="C109" s="9" t="s">
        <v>65</v>
      </c>
      <c r="D109" s="10" t="s">
        <v>21</v>
      </c>
      <c r="E109" s="11">
        <v>74999.915080160004</v>
      </c>
      <c r="F109" s="12">
        <v>40.5139</v>
      </c>
      <c r="G109" s="13">
        <v>975.09566487836105</v>
      </c>
      <c r="H109" s="8">
        <v>42692</v>
      </c>
      <c r="I109" s="14">
        <v>1851.2144000000001</v>
      </c>
      <c r="J109" s="8">
        <v>42760</v>
      </c>
    </row>
    <row r="110" spans="1:10" x14ac:dyDescent="0.25">
      <c r="A110" s="7">
        <v>107</v>
      </c>
      <c r="B110" s="8">
        <v>42760</v>
      </c>
      <c r="C110" s="9" t="s">
        <v>66</v>
      </c>
      <c r="D110" s="10" t="s">
        <v>21</v>
      </c>
      <c r="E110" s="11">
        <v>47499.940046720003</v>
      </c>
      <c r="F110" s="12">
        <v>25.658799999999999</v>
      </c>
      <c r="G110" s="13">
        <v>1000.75446487836</v>
      </c>
      <c r="H110" s="8">
        <v>42692</v>
      </c>
      <c r="I110" s="14">
        <v>1851.2144000000001</v>
      </c>
      <c r="J110" s="8">
        <v>42760</v>
      </c>
    </row>
    <row r="111" spans="1:10" x14ac:dyDescent="0.25">
      <c r="A111" s="7">
        <v>108</v>
      </c>
      <c r="B111" s="8">
        <v>42760</v>
      </c>
      <c r="C111" s="9" t="s">
        <v>75</v>
      </c>
      <c r="D111" s="10" t="s">
        <v>24</v>
      </c>
      <c r="E111" s="15">
        <v>-15733.017127749999</v>
      </c>
      <c r="F111" s="16">
        <v>-7.8216999999999999</v>
      </c>
      <c r="G111" s="13">
        <v>992.93276487836101</v>
      </c>
      <c r="H111" s="8">
        <v>42760</v>
      </c>
      <c r="I111" s="14">
        <v>2011.4575</v>
      </c>
      <c r="J111" s="8">
        <v>42760</v>
      </c>
    </row>
    <row r="112" spans="1:10" x14ac:dyDescent="0.25">
      <c r="A112" s="7">
        <v>109</v>
      </c>
      <c r="B112" s="8">
        <v>42760</v>
      </c>
      <c r="C112" s="9" t="s">
        <v>76</v>
      </c>
      <c r="D112" s="10" t="s">
        <v>24</v>
      </c>
      <c r="E112" s="15">
        <v>-12402.646945</v>
      </c>
      <c r="F112" s="16">
        <v>-6.1660000000000004</v>
      </c>
      <c r="G112" s="13">
        <v>986.76676487836096</v>
      </c>
      <c r="H112" s="8">
        <v>42760</v>
      </c>
      <c r="I112" s="14">
        <v>2011.4575</v>
      </c>
      <c r="J112" s="8">
        <v>42760</v>
      </c>
    </row>
    <row r="113" spans="1:10" x14ac:dyDescent="0.25">
      <c r="A113" s="7">
        <v>110</v>
      </c>
      <c r="B113" s="8">
        <v>42791</v>
      </c>
      <c r="C113" s="9" t="s">
        <v>65</v>
      </c>
      <c r="D113" s="10" t="s">
        <v>21</v>
      </c>
      <c r="E113" s="11">
        <v>74999.995707509996</v>
      </c>
      <c r="F113" s="12">
        <v>44.0047</v>
      </c>
      <c r="G113" s="13">
        <v>1030.7714648783599</v>
      </c>
      <c r="H113" s="8">
        <v>42727</v>
      </c>
      <c r="I113" s="14">
        <v>1704.3633</v>
      </c>
      <c r="J113" s="8">
        <v>42791</v>
      </c>
    </row>
    <row r="114" spans="1:10" x14ac:dyDescent="0.25">
      <c r="A114" s="7">
        <v>111</v>
      </c>
      <c r="B114" s="8">
        <v>42791</v>
      </c>
      <c r="C114" s="9" t="s">
        <v>66</v>
      </c>
      <c r="D114" s="10" t="s">
        <v>21</v>
      </c>
      <c r="E114" s="11">
        <v>47499.923425679997</v>
      </c>
      <c r="F114" s="12">
        <v>27.869599999999998</v>
      </c>
      <c r="G114" s="13">
        <v>1058.6410648783601</v>
      </c>
      <c r="H114" s="8">
        <v>42727</v>
      </c>
      <c r="I114" s="14">
        <v>1704.3633</v>
      </c>
      <c r="J114" s="8">
        <v>42791</v>
      </c>
    </row>
    <row r="115" spans="1:10" x14ac:dyDescent="0.25">
      <c r="A115" s="7">
        <v>112</v>
      </c>
      <c r="B115" s="8">
        <v>42791</v>
      </c>
      <c r="C115" s="9" t="s">
        <v>77</v>
      </c>
      <c r="D115" s="10" t="s">
        <v>24</v>
      </c>
      <c r="E115" s="15">
        <v>-15219.434546689999</v>
      </c>
      <c r="F115" s="16">
        <v>-8.3383000000000003</v>
      </c>
      <c r="G115" s="13">
        <v>1050.30276487836</v>
      </c>
      <c r="H115" s="8">
        <v>42793</v>
      </c>
      <c r="I115" s="14">
        <v>1825.2443000000001</v>
      </c>
      <c r="J115" s="8">
        <v>42791</v>
      </c>
    </row>
    <row r="116" spans="1:10" x14ac:dyDescent="0.25">
      <c r="A116" s="7">
        <v>113</v>
      </c>
      <c r="B116" s="8">
        <v>42791</v>
      </c>
      <c r="C116" s="9" t="s">
        <v>78</v>
      </c>
      <c r="D116" s="10" t="s">
        <v>24</v>
      </c>
      <c r="E116" s="15">
        <v>-11997.87835719</v>
      </c>
      <c r="F116" s="16">
        <v>-6.5732999999999997</v>
      </c>
      <c r="G116" s="13">
        <v>1043.72946487836</v>
      </c>
      <c r="H116" s="8">
        <v>42793</v>
      </c>
      <c r="I116" s="14">
        <v>1825.2443000000001</v>
      </c>
      <c r="J116" s="8">
        <v>42791</v>
      </c>
    </row>
    <row r="117" spans="1:10" x14ac:dyDescent="0.25">
      <c r="A117" s="7">
        <v>114</v>
      </c>
      <c r="B117" s="8">
        <v>42819</v>
      </c>
      <c r="C117" s="9" t="s">
        <v>65</v>
      </c>
      <c r="D117" s="10" t="s">
        <v>21</v>
      </c>
      <c r="E117" s="11">
        <v>74999.961660960005</v>
      </c>
      <c r="F117" s="12">
        <v>37.324599999999997</v>
      </c>
      <c r="G117" s="13">
        <v>1081.0540648783599</v>
      </c>
      <c r="H117" s="8">
        <v>42753</v>
      </c>
      <c r="I117" s="14">
        <v>2009.3976</v>
      </c>
      <c r="J117" s="8">
        <v>42819</v>
      </c>
    </row>
    <row r="118" spans="1:10" x14ac:dyDescent="0.25">
      <c r="A118" s="7">
        <v>115</v>
      </c>
      <c r="B118" s="8">
        <v>42819</v>
      </c>
      <c r="C118" s="9" t="s">
        <v>66</v>
      </c>
      <c r="D118" s="10" t="s">
        <v>21</v>
      </c>
      <c r="E118" s="11">
        <v>47499.948926639998</v>
      </c>
      <c r="F118" s="12">
        <v>23.6389</v>
      </c>
      <c r="G118" s="13">
        <v>1104.69296487836</v>
      </c>
      <c r="H118" s="8">
        <v>42753</v>
      </c>
      <c r="I118" s="14">
        <v>2009.3976</v>
      </c>
      <c r="J118" s="8">
        <v>42819</v>
      </c>
    </row>
    <row r="119" spans="1:10" x14ac:dyDescent="0.25">
      <c r="A119" s="7">
        <v>116</v>
      </c>
      <c r="B119" s="8">
        <v>42819</v>
      </c>
      <c r="C119" s="9" t="s">
        <v>79</v>
      </c>
      <c r="D119" s="10" t="s">
        <v>24</v>
      </c>
      <c r="E119" s="15">
        <v>-14936.04234675</v>
      </c>
      <c r="F119" s="16">
        <v>-8.3475000000000001</v>
      </c>
      <c r="G119" s="13">
        <v>1096.34546487836</v>
      </c>
      <c r="H119" s="8">
        <v>42821</v>
      </c>
      <c r="I119" s="14">
        <v>1789.2833000000001</v>
      </c>
      <c r="J119" s="8">
        <v>42819</v>
      </c>
    </row>
    <row r="120" spans="1:10" x14ac:dyDescent="0.25">
      <c r="A120" s="7">
        <v>117</v>
      </c>
      <c r="B120" s="8">
        <v>42819</v>
      </c>
      <c r="C120" s="9" t="s">
        <v>80</v>
      </c>
      <c r="D120" s="10" t="s">
        <v>24</v>
      </c>
      <c r="E120" s="15">
        <v>-11774.378755649999</v>
      </c>
      <c r="F120" s="16">
        <v>-6.5804999999999998</v>
      </c>
      <c r="G120" s="13">
        <v>1089.7649648783599</v>
      </c>
      <c r="H120" s="8">
        <v>42821</v>
      </c>
      <c r="I120" s="14">
        <v>1789.2833000000001</v>
      </c>
      <c r="J120" s="8">
        <v>42819</v>
      </c>
    </row>
    <row r="121" spans="1:10" x14ac:dyDescent="0.25">
      <c r="A121" s="7">
        <v>118</v>
      </c>
      <c r="B121" s="8">
        <v>42850</v>
      </c>
      <c r="C121" s="9" t="s">
        <v>65</v>
      </c>
      <c r="D121" s="10" t="s">
        <v>21</v>
      </c>
      <c r="E121" s="11">
        <v>74999.980745599998</v>
      </c>
      <c r="F121" s="12">
        <v>45.371600000000001</v>
      </c>
      <c r="G121" s="13">
        <v>1135.1365648783601</v>
      </c>
      <c r="H121" s="8">
        <v>42870</v>
      </c>
      <c r="I121" s="14">
        <v>1653.0160000000001</v>
      </c>
      <c r="J121" s="8">
        <v>42850</v>
      </c>
    </row>
    <row r="122" spans="1:10" x14ac:dyDescent="0.25">
      <c r="A122" s="7">
        <v>119</v>
      </c>
      <c r="B122" s="8">
        <v>42850</v>
      </c>
      <c r="C122" s="9" t="s">
        <v>66</v>
      </c>
      <c r="D122" s="10" t="s">
        <v>21</v>
      </c>
      <c r="E122" s="11">
        <v>47500.0759664</v>
      </c>
      <c r="F122" s="12">
        <v>28.735399999999998</v>
      </c>
      <c r="G122" s="13">
        <v>1163.8719648783599</v>
      </c>
      <c r="H122" s="8">
        <v>42870</v>
      </c>
      <c r="I122" s="14">
        <v>1653.0160000000001</v>
      </c>
      <c r="J122" s="8">
        <v>42850</v>
      </c>
    </row>
    <row r="123" spans="1:10" x14ac:dyDescent="0.25">
      <c r="A123" s="7">
        <v>120</v>
      </c>
      <c r="B123" s="8">
        <v>42850</v>
      </c>
      <c r="C123" s="9" t="s">
        <v>81</v>
      </c>
      <c r="D123" s="10" t="s">
        <v>24</v>
      </c>
      <c r="E123" s="15">
        <v>-14653.88442076</v>
      </c>
      <c r="F123" s="16">
        <v>-8.6137999999999995</v>
      </c>
      <c r="G123" s="13">
        <v>1155.25816487836</v>
      </c>
      <c r="H123" s="8">
        <v>42850</v>
      </c>
      <c r="I123" s="14">
        <v>1701.2102</v>
      </c>
      <c r="J123" s="8">
        <v>42850</v>
      </c>
    </row>
    <row r="124" spans="1:10" x14ac:dyDescent="0.25">
      <c r="A124" s="7">
        <v>121</v>
      </c>
      <c r="B124" s="8">
        <v>42850</v>
      </c>
      <c r="C124" s="9" t="s">
        <v>82</v>
      </c>
      <c r="D124" s="10" t="s">
        <v>24</v>
      </c>
      <c r="E124" s="15">
        <v>-11551.89774208</v>
      </c>
      <c r="F124" s="16">
        <v>-6.7904</v>
      </c>
      <c r="G124" s="13">
        <v>1148.46776487836</v>
      </c>
      <c r="H124" s="8">
        <v>42850</v>
      </c>
      <c r="I124" s="14">
        <v>1701.2102</v>
      </c>
      <c r="J124" s="8">
        <v>42850</v>
      </c>
    </row>
    <row r="125" spans="1:10" x14ac:dyDescent="0.25">
      <c r="A125" s="7">
        <v>122</v>
      </c>
      <c r="B125" s="8">
        <v>42880</v>
      </c>
      <c r="C125" s="9" t="s">
        <v>65</v>
      </c>
      <c r="D125" s="10" t="s">
        <v>21</v>
      </c>
      <c r="E125" s="11">
        <v>74999.980745599998</v>
      </c>
      <c r="F125" s="12">
        <v>45.371600000000001</v>
      </c>
      <c r="G125" s="13">
        <v>1193.8393648783599</v>
      </c>
      <c r="H125" s="8">
        <v>42870</v>
      </c>
      <c r="I125" s="14">
        <v>1653.0160000000001</v>
      </c>
      <c r="J125" s="8">
        <v>42880</v>
      </c>
    </row>
    <row r="126" spans="1:10" x14ac:dyDescent="0.25">
      <c r="A126" s="7">
        <v>123</v>
      </c>
      <c r="B126" s="8">
        <v>42880</v>
      </c>
      <c r="C126" s="9" t="s">
        <v>66</v>
      </c>
      <c r="D126" s="10" t="s">
        <v>21</v>
      </c>
      <c r="E126" s="11">
        <v>47500.0759664</v>
      </c>
      <c r="F126" s="12">
        <v>28.735399999999998</v>
      </c>
      <c r="G126" s="13">
        <v>1222.5747648783599</v>
      </c>
      <c r="H126" s="8">
        <v>42870</v>
      </c>
      <c r="I126" s="14">
        <v>1653.0160000000001</v>
      </c>
      <c r="J126" s="8">
        <v>42880</v>
      </c>
    </row>
    <row r="127" spans="1:10" x14ac:dyDescent="0.25">
      <c r="A127" s="7">
        <v>124</v>
      </c>
      <c r="B127" s="8">
        <v>42880</v>
      </c>
      <c r="C127" s="9" t="s">
        <v>83</v>
      </c>
      <c r="D127" s="10" t="s">
        <v>24</v>
      </c>
      <c r="E127" s="15">
        <v>-15467.49486108</v>
      </c>
      <c r="F127" s="16">
        <v>-8.9720999999999993</v>
      </c>
      <c r="G127" s="13">
        <v>1213.60266487836</v>
      </c>
      <c r="H127" s="8">
        <v>42881</v>
      </c>
      <c r="I127" s="14">
        <v>1723.9548</v>
      </c>
      <c r="J127" s="8">
        <v>42880</v>
      </c>
    </row>
    <row r="128" spans="1:10" x14ac:dyDescent="0.25">
      <c r="A128" s="7">
        <v>125</v>
      </c>
      <c r="B128" s="8">
        <v>42880</v>
      </c>
      <c r="C128" s="9" t="s">
        <v>84</v>
      </c>
      <c r="D128" s="10" t="s">
        <v>24</v>
      </c>
      <c r="E128" s="15">
        <v>-12193.35990492</v>
      </c>
      <c r="F128" s="16">
        <v>-7.0728999999999997</v>
      </c>
      <c r="G128" s="13">
        <v>1206.5297648783601</v>
      </c>
      <c r="H128" s="8">
        <v>42881</v>
      </c>
      <c r="I128" s="14">
        <v>1723.9548</v>
      </c>
      <c r="J128" s="8">
        <v>42880</v>
      </c>
    </row>
    <row r="129" spans="1:10" x14ac:dyDescent="0.25">
      <c r="A129" s="7">
        <v>126</v>
      </c>
      <c r="B129" s="8">
        <v>42911</v>
      </c>
      <c r="C129" s="9" t="s">
        <v>65</v>
      </c>
      <c r="D129" s="10" t="s">
        <v>21</v>
      </c>
      <c r="E129" s="11">
        <v>74999.980745599998</v>
      </c>
      <c r="F129" s="12">
        <v>45.371600000000001</v>
      </c>
      <c r="G129" s="13">
        <v>1251.90136487836</v>
      </c>
      <c r="H129" s="8">
        <v>42870</v>
      </c>
      <c r="I129" s="14">
        <v>1653.0160000000001</v>
      </c>
      <c r="J129" s="8">
        <v>42911</v>
      </c>
    </row>
    <row r="130" spans="1:10" x14ac:dyDescent="0.25">
      <c r="A130" s="7">
        <v>127</v>
      </c>
      <c r="B130" s="8">
        <v>42911</v>
      </c>
      <c r="C130" s="9" t="s">
        <v>66</v>
      </c>
      <c r="D130" s="10" t="s">
        <v>21</v>
      </c>
      <c r="E130" s="11">
        <v>47500.0759664</v>
      </c>
      <c r="F130" s="12">
        <v>28.735399999999998</v>
      </c>
      <c r="G130" s="13">
        <v>1280.6367648783601</v>
      </c>
      <c r="H130" s="8">
        <v>42870</v>
      </c>
      <c r="I130" s="14">
        <v>1653.0160000000001</v>
      </c>
      <c r="J130" s="8">
        <v>42911</v>
      </c>
    </row>
    <row r="131" spans="1:10" x14ac:dyDescent="0.25">
      <c r="A131" s="7">
        <v>128</v>
      </c>
      <c r="B131" s="8">
        <v>42911</v>
      </c>
      <c r="C131" s="9" t="s">
        <v>85</v>
      </c>
      <c r="D131" s="10" t="s">
        <v>24</v>
      </c>
      <c r="E131" s="15">
        <v>-15231.58639068</v>
      </c>
      <c r="F131" s="16">
        <v>-8.4876000000000005</v>
      </c>
      <c r="G131" s="13">
        <v>1272.1491648783599</v>
      </c>
      <c r="H131" s="8">
        <v>42919</v>
      </c>
      <c r="I131" s="14">
        <v>1794.5693000000001</v>
      </c>
      <c r="J131" s="8">
        <v>42911</v>
      </c>
    </row>
    <row r="132" spans="1:10" x14ac:dyDescent="0.25">
      <c r="A132" s="7">
        <v>129</v>
      </c>
      <c r="B132" s="8">
        <v>42911</v>
      </c>
      <c r="C132" s="9" t="s">
        <v>86</v>
      </c>
      <c r="D132" s="10" t="s">
        <v>24</v>
      </c>
      <c r="E132" s="15">
        <v>-12007.4631863</v>
      </c>
      <c r="F132" s="16">
        <v>-6.6909999999999998</v>
      </c>
      <c r="G132" s="13">
        <v>1265.4581648783601</v>
      </c>
      <c r="H132" s="8">
        <v>42919</v>
      </c>
      <c r="I132" s="14">
        <v>1794.5693000000001</v>
      </c>
      <c r="J132" s="8">
        <v>42911</v>
      </c>
    </row>
    <row r="133" spans="1:10" x14ac:dyDescent="0.25">
      <c r="A133" s="7">
        <v>130</v>
      </c>
      <c r="B133" s="8">
        <v>42941</v>
      </c>
      <c r="C133" s="9" t="s">
        <v>65</v>
      </c>
      <c r="D133" s="10" t="s">
        <v>21</v>
      </c>
      <c r="E133" s="11">
        <v>74999.979620459999</v>
      </c>
      <c r="F133" s="12">
        <v>47.405700000000003</v>
      </c>
      <c r="G133" s="13">
        <v>1312.8638648783599</v>
      </c>
      <c r="H133" s="8">
        <v>42933</v>
      </c>
      <c r="I133" s="14">
        <v>1582.0878</v>
      </c>
      <c r="J133" s="8">
        <v>42941</v>
      </c>
    </row>
    <row r="134" spans="1:10" x14ac:dyDescent="0.25">
      <c r="A134" s="7">
        <v>131</v>
      </c>
      <c r="B134" s="8">
        <v>42941</v>
      </c>
      <c r="C134" s="9" t="s">
        <v>66</v>
      </c>
      <c r="D134" s="10" t="s">
        <v>21</v>
      </c>
      <c r="E134" s="11">
        <v>47499.971272080002</v>
      </c>
      <c r="F134" s="12">
        <v>30.023599999999998</v>
      </c>
      <c r="G134" s="13">
        <v>1342.8874648783601</v>
      </c>
      <c r="H134" s="8">
        <v>42933</v>
      </c>
      <c r="I134" s="14">
        <v>1582.0878</v>
      </c>
      <c r="J134" s="8">
        <v>42941</v>
      </c>
    </row>
    <row r="135" spans="1:10" x14ac:dyDescent="0.25">
      <c r="A135" s="7">
        <v>132</v>
      </c>
      <c r="B135" s="8">
        <v>42941</v>
      </c>
      <c r="C135" s="9" t="s">
        <v>87</v>
      </c>
      <c r="D135" s="10" t="s">
        <v>24</v>
      </c>
      <c r="E135" s="15">
        <v>-15144.90753676</v>
      </c>
      <c r="F135" s="16">
        <v>-9.7045999999999992</v>
      </c>
      <c r="G135" s="13">
        <v>1333.1828648783601</v>
      </c>
      <c r="H135" s="8">
        <v>42941</v>
      </c>
      <c r="I135" s="14">
        <v>1560.5906</v>
      </c>
      <c r="J135" s="8">
        <v>42941</v>
      </c>
    </row>
    <row r="136" spans="1:10" x14ac:dyDescent="0.25">
      <c r="A136" s="7">
        <v>133</v>
      </c>
      <c r="B136" s="8">
        <v>42941</v>
      </c>
      <c r="C136" s="9" t="s">
        <v>88</v>
      </c>
      <c r="D136" s="10" t="s">
        <v>24</v>
      </c>
      <c r="E136" s="15">
        <v>-11938.98626718</v>
      </c>
      <c r="F136" s="16">
        <v>-7.6502999999999997</v>
      </c>
      <c r="G136" s="13">
        <v>1325.5325648783601</v>
      </c>
      <c r="H136" s="8">
        <v>42941</v>
      </c>
      <c r="I136" s="14">
        <v>1560.5906</v>
      </c>
      <c r="J136" s="8">
        <v>42941</v>
      </c>
    </row>
    <row r="137" spans="1:10" x14ac:dyDescent="0.25">
      <c r="A137" s="7">
        <v>134</v>
      </c>
      <c r="B137" s="8">
        <v>42972</v>
      </c>
      <c r="C137" s="9" t="s">
        <v>65</v>
      </c>
      <c r="D137" s="10" t="s">
        <v>21</v>
      </c>
      <c r="E137" s="11">
        <v>75000.044417199999</v>
      </c>
      <c r="F137" s="12">
        <v>44.137</v>
      </c>
      <c r="G137" s="13">
        <v>1369.66956487836</v>
      </c>
      <c r="H137" s="8">
        <v>42905</v>
      </c>
      <c r="I137" s="14">
        <v>1699.2556</v>
      </c>
      <c r="J137" s="8">
        <v>42972</v>
      </c>
    </row>
    <row r="138" spans="1:10" x14ac:dyDescent="0.25">
      <c r="A138" s="7">
        <v>135</v>
      </c>
      <c r="B138" s="8">
        <v>42972</v>
      </c>
      <c r="C138" s="9" t="s">
        <v>66</v>
      </c>
      <c r="D138" s="10" t="s">
        <v>21</v>
      </c>
      <c r="E138" s="11">
        <v>47499.971489039999</v>
      </c>
      <c r="F138" s="12">
        <v>27.953399999999998</v>
      </c>
      <c r="G138" s="13">
        <v>1397.6229648783601</v>
      </c>
      <c r="H138" s="8">
        <v>42905</v>
      </c>
      <c r="I138" s="14">
        <v>1699.2556</v>
      </c>
      <c r="J138" s="8">
        <v>42972</v>
      </c>
    </row>
    <row r="139" spans="1:10" x14ac:dyDescent="0.25">
      <c r="A139" s="7">
        <v>136</v>
      </c>
      <c r="B139" s="8">
        <v>42972</v>
      </c>
      <c r="C139" s="9" t="s">
        <v>89</v>
      </c>
      <c r="D139" s="10" t="s">
        <v>24</v>
      </c>
      <c r="E139" s="15">
        <v>-13527.651669749999</v>
      </c>
      <c r="F139" s="16">
        <v>-9.1425000000000001</v>
      </c>
      <c r="G139" s="13">
        <v>1388.48046487836</v>
      </c>
      <c r="H139" s="8">
        <v>42972</v>
      </c>
      <c r="I139" s="14">
        <v>1479.6447000000001</v>
      </c>
      <c r="J139" s="8">
        <v>42972</v>
      </c>
    </row>
    <row r="140" spans="1:10" x14ac:dyDescent="0.25">
      <c r="A140" s="7">
        <v>137</v>
      </c>
      <c r="B140" s="8">
        <v>42972</v>
      </c>
      <c r="C140" s="9" t="s">
        <v>90</v>
      </c>
      <c r="D140" s="10" t="s">
        <v>24</v>
      </c>
      <c r="E140" s="15">
        <v>-10664.09528184</v>
      </c>
      <c r="F140" s="16">
        <v>-7.2072000000000003</v>
      </c>
      <c r="G140" s="13">
        <v>1381.2732648783599</v>
      </c>
      <c r="H140" s="8">
        <v>42972</v>
      </c>
      <c r="I140" s="14">
        <v>1479.6447000000001</v>
      </c>
      <c r="J140" s="8">
        <v>42972</v>
      </c>
    </row>
    <row r="141" spans="1:10" x14ac:dyDescent="0.25">
      <c r="A141" s="7">
        <v>138</v>
      </c>
      <c r="B141" s="8">
        <v>43003</v>
      </c>
      <c r="C141" s="9" t="s">
        <v>91</v>
      </c>
      <c r="D141" s="10" t="s">
        <v>21</v>
      </c>
      <c r="E141" s="11">
        <v>84999.986356480003</v>
      </c>
      <c r="F141" s="12">
        <v>53.614600000000003</v>
      </c>
      <c r="G141" s="13">
        <v>1434.88786487836</v>
      </c>
      <c r="H141" s="8">
        <v>42935</v>
      </c>
      <c r="I141" s="14">
        <v>1585.3887999999999</v>
      </c>
      <c r="J141" s="8">
        <v>43003</v>
      </c>
    </row>
    <row r="142" spans="1:10" x14ac:dyDescent="0.25">
      <c r="A142" s="7">
        <v>139</v>
      </c>
      <c r="B142" s="8">
        <v>43003</v>
      </c>
      <c r="C142" s="9" t="s">
        <v>92</v>
      </c>
      <c r="D142" s="10" t="s">
        <v>21</v>
      </c>
      <c r="E142" s="11">
        <v>47499.992375679998</v>
      </c>
      <c r="F142" s="12">
        <v>29.961099999999998</v>
      </c>
      <c r="G142" s="13">
        <v>1464.84896487836</v>
      </c>
      <c r="H142" s="8">
        <v>42935</v>
      </c>
      <c r="I142" s="14">
        <v>1585.3887999999999</v>
      </c>
      <c r="J142" s="8">
        <v>43003</v>
      </c>
    </row>
    <row r="143" spans="1:10" x14ac:dyDescent="0.25">
      <c r="A143" s="7">
        <v>140</v>
      </c>
      <c r="B143" s="8">
        <v>43003</v>
      </c>
      <c r="C143" s="9" t="s">
        <v>93</v>
      </c>
      <c r="D143" s="10" t="s">
        <v>24</v>
      </c>
      <c r="E143" s="15">
        <v>-14648.552208949999</v>
      </c>
      <c r="F143" s="16">
        <v>-10.4291</v>
      </c>
      <c r="G143" s="13">
        <v>1454.4198648783599</v>
      </c>
      <c r="H143" s="8">
        <v>43005</v>
      </c>
      <c r="I143" s="14">
        <v>1404.5844999999999</v>
      </c>
      <c r="J143" s="8">
        <v>43003</v>
      </c>
    </row>
    <row r="144" spans="1:10" x14ac:dyDescent="0.25">
      <c r="A144" s="7">
        <v>141</v>
      </c>
      <c r="B144" s="8">
        <v>43003</v>
      </c>
      <c r="C144" s="9" t="s">
        <v>94</v>
      </c>
      <c r="D144" s="10" t="s">
        <v>24</v>
      </c>
      <c r="E144" s="15">
        <v>-11059.55789455</v>
      </c>
      <c r="F144" s="16">
        <v>-7.8738999999999999</v>
      </c>
      <c r="G144" s="13">
        <v>1446.5459648783601</v>
      </c>
      <c r="H144" s="8">
        <v>43005</v>
      </c>
      <c r="I144" s="14">
        <v>1404.5844999999999</v>
      </c>
      <c r="J144" s="8">
        <v>43003</v>
      </c>
    </row>
    <row r="145" spans="1:10" x14ac:dyDescent="0.25">
      <c r="A145" s="7">
        <v>142</v>
      </c>
      <c r="B145" s="8">
        <v>43033</v>
      </c>
      <c r="C145" s="9" t="s">
        <v>91</v>
      </c>
      <c r="D145" s="10" t="s">
        <v>21</v>
      </c>
      <c r="E145" s="11">
        <v>84999.955768560001</v>
      </c>
      <c r="F145" s="12">
        <v>62.714399999999998</v>
      </c>
      <c r="G145" s="13">
        <v>1509.26036487836</v>
      </c>
      <c r="H145" s="8">
        <v>42968</v>
      </c>
      <c r="I145" s="14">
        <v>1355.3498999999999</v>
      </c>
      <c r="J145" s="8">
        <v>43033</v>
      </c>
    </row>
    <row r="146" spans="1:10" x14ac:dyDescent="0.25">
      <c r="A146" s="7">
        <v>143</v>
      </c>
      <c r="B146" s="8">
        <v>43033</v>
      </c>
      <c r="C146" s="9" t="s">
        <v>92</v>
      </c>
      <c r="D146" s="10" t="s">
        <v>21</v>
      </c>
      <c r="E146" s="11">
        <v>47499.999200370003</v>
      </c>
      <c r="F146" s="12">
        <v>35.046300000000002</v>
      </c>
      <c r="G146" s="13">
        <v>1544.3066648783599</v>
      </c>
      <c r="H146" s="8">
        <v>42968</v>
      </c>
      <c r="I146" s="14">
        <v>1355.3498999999999</v>
      </c>
      <c r="J146" s="8">
        <v>43033</v>
      </c>
    </row>
    <row r="147" spans="1:10" x14ac:dyDescent="0.25">
      <c r="A147" s="7">
        <v>144</v>
      </c>
      <c r="B147" s="8">
        <v>43033</v>
      </c>
      <c r="C147" s="9" t="s">
        <v>95</v>
      </c>
      <c r="D147" s="10" t="s">
        <v>24</v>
      </c>
      <c r="E147" s="15">
        <v>-14832.633722500001</v>
      </c>
      <c r="F147" s="16">
        <v>-10.175000000000001</v>
      </c>
      <c r="G147" s="13">
        <v>1534.13166487836</v>
      </c>
      <c r="H147" s="8">
        <v>43033</v>
      </c>
      <c r="I147" s="14">
        <v>1457.7527</v>
      </c>
      <c r="J147" s="8">
        <v>43033</v>
      </c>
    </row>
    <row r="148" spans="1:10" x14ac:dyDescent="0.25">
      <c r="A148" s="7">
        <v>145</v>
      </c>
      <c r="B148" s="8">
        <v>43033</v>
      </c>
      <c r="C148" s="9" t="s">
        <v>96</v>
      </c>
      <c r="D148" s="10" t="s">
        <v>24</v>
      </c>
      <c r="E148" s="15">
        <v>-11198.456241399999</v>
      </c>
      <c r="F148" s="16">
        <v>-7.6820000000000004</v>
      </c>
      <c r="G148" s="13">
        <v>1526.44966487836</v>
      </c>
      <c r="H148" s="8">
        <v>43033</v>
      </c>
      <c r="I148" s="14">
        <v>1457.7527</v>
      </c>
      <c r="J148" s="8">
        <v>43033</v>
      </c>
    </row>
    <row r="149" spans="1:10" x14ac:dyDescent="0.25">
      <c r="A149" s="7">
        <v>146</v>
      </c>
      <c r="B149" s="8">
        <v>43064</v>
      </c>
      <c r="C149" s="9" t="s">
        <v>91</v>
      </c>
      <c r="D149" s="10" t="s">
        <v>21</v>
      </c>
      <c r="E149" s="11">
        <v>84999.971457780004</v>
      </c>
      <c r="F149" s="12">
        <v>58.775700000000001</v>
      </c>
      <c r="G149" s="13">
        <v>1585.2253648783601</v>
      </c>
      <c r="H149" s="8">
        <v>42997</v>
      </c>
      <c r="I149" s="14">
        <v>1446.1754000000001</v>
      </c>
      <c r="J149" s="8">
        <v>43064</v>
      </c>
    </row>
    <row r="150" spans="1:10" x14ac:dyDescent="0.25">
      <c r="A150" s="7">
        <v>147</v>
      </c>
      <c r="B150" s="8">
        <v>43064</v>
      </c>
      <c r="C150" s="9" t="s">
        <v>92</v>
      </c>
      <c r="D150" s="10" t="s">
        <v>21</v>
      </c>
      <c r="E150" s="11">
        <v>47500.064865619999</v>
      </c>
      <c r="F150" s="12">
        <v>32.845300000000002</v>
      </c>
      <c r="G150" s="13">
        <v>1618.07066487836</v>
      </c>
      <c r="H150" s="8">
        <v>42997</v>
      </c>
      <c r="I150" s="14">
        <v>1446.1754000000001</v>
      </c>
      <c r="J150" s="8">
        <v>43064</v>
      </c>
    </row>
    <row r="151" spans="1:10" x14ac:dyDescent="0.25">
      <c r="A151" s="7">
        <v>148</v>
      </c>
      <c r="B151" s="8">
        <v>43064</v>
      </c>
      <c r="C151" s="9" t="s">
        <v>97</v>
      </c>
      <c r="D151" s="10" t="s">
        <v>24</v>
      </c>
      <c r="E151" s="15">
        <v>-14839.25589172</v>
      </c>
      <c r="F151" s="16">
        <v>-10.325900000000001</v>
      </c>
      <c r="G151" s="13">
        <v>1607.74476487836</v>
      </c>
      <c r="H151" s="8">
        <v>43066</v>
      </c>
      <c r="I151" s="14">
        <v>1437.0907999999999</v>
      </c>
      <c r="J151" s="8">
        <v>43064</v>
      </c>
    </row>
    <row r="152" spans="1:10" x14ac:dyDescent="0.25">
      <c r="A152" s="7">
        <v>149</v>
      </c>
      <c r="B152" s="8">
        <v>43064</v>
      </c>
      <c r="C152" s="9" t="s">
        <v>98</v>
      </c>
      <c r="D152" s="10" t="s">
        <v>24</v>
      </c>
      <c r="E152" s="15">
        <v>-11203.416167720001</v>
      </c>
      <c r="F152" s="16">
        <v>-7.7958999999999996</v>
      </c>
      <c r="G152" s="13">
        <v>1599.9488648783599</v>
      </c>
      <c r="H152" s="8">
        <v>43066</v>
      </c>
      <c r="I152" s="14">
        <v>1437.0907999999999</v>
      </c>
      <c r="J152" s="8">
        <v>43064</v>
      </c>
    </row>
    <row r="153" spans="1:10" x14ac:dyDescent="0.25">
      <c r="A153" s="7">
        <v>150</v>
      </c>
      <c r="B153" s="8">
        <v>43094</v>
      </c>
      <c r="C153" s="9" t="s">
        <v>91</v>
      </c>
      <c r="D153" s="10" t="s">
        <v>21</v>
      </c>
      <c r="E153" s="11">
        <v>85000.038504380005</v>
      </c>
      <c r="F153" s="12">
        <v>60.389800000000001</v>
      </c>
      <c r="G153" s="13">
        <v>1660.3386648783601</v>
      </c>
      <c r="H153" s="8">
        <v>43080</v>
      </c>
      <c r="I153" s="14">
        <v>1407.5231000000001</v>
      </c>
      <c r="J153" s="8">
        <v>43094</v>
      </c>
    </row>
    <row r="154" spans="1:10" x14ac:dyDescent="0.25">
      <c r="A154" s="7">
        <v>151</v>
      </c>
      <c r="B154" s="8">
        <v>43094</v>
      </c>
      <c r="C154" s="9" t="s">
        <v>92</v>
      </c>
      <c r="D154" s="10" t="s">
        <v>21</v>
      </c>
      <c r="E154" s="11">
        <v>47499.96356032</v>
      </c>
      <c r="F154" s="12">
        <v>33.747199999999999</v>
      </c>
      <c r="G154" s="13">
        <v>1694.0858648783601</v>
      </c>
      <c r="H154" s="8">
        <v>43080</v>
      </c>
      <c r="I154" s="14">
        <v>1407.5231000000001</v>
      </c>
      <c r="J154" s="8">
        <v>43094</v>
      </c>
    </row>
    <row r="155" spans="1:10" x14ac:dyDescent="0.25">
      <c r="A155" s="7">
        <v>152</v>
      </c>
      <c r="B155" s="8">
        <v>43094</v>
      </c>
      <c r="C155" s="9" t="s">
        <v>99</v>
      </c>
      <c r="D155" s="10" t="s">
        <v>24</v>
      </c>
      <c r="E155" s="15">
        <v>-14866.16352735</v>
      </c>
      <c r="F155" s="16">
        <v>-10.420500000000001</v>
      </c>
      <c r="G155" s="13">
        <v>1683.6653648783599</v>
      </c>
      <c r="H155" s="8">
        <v>43096</v>
      </c>
      <c r="I155" s="14">
        <v>1426.6267</v>
      </c>
      <c r="J155" s="8">
        <v>43094</v>
      </c>
    </row>
    <row r="156" spans="1:10" x14ac:dyDescent="0.25">
      <c r="A156" s="7">
        <v>153</v>
      </c>
      <c r="B156" s="8">
        <v>43094</v>
      </c>
      <c r="C156" s="9" t="s">
        <v>100</v>
      </c>
      <c r="D156" s="10" t="s">
        <v>24</v>
      </c>
      <c r="E156" s="15">
        <v>-11223.84289958</v>
      </c>
      <c r="F156" s="16">
        <v>-7.8673999999999999</v>
      </c>
      <c r="G156" s="13">
        <v>1675.7979648783601</v>
      </c>
      <c r="H156" s="8">
        <v>43096</v>
      </c>
      <c r="I156" s="14">
        <v>1426.6267</v>
      </c>
      <c r="J156" s="8">
        <v>43094</v>
      </c>
    </row>
    <row r="157" spans="1:10" x14ac:dyDescent="0.25">
      <c r="A157" s="7">
        <v>154</v>
      </c>
      <c r="B157" s="8">
        <v>43125</v>
      </c>
      <c r="C157" s="9" t="s">
        <v>91</v>
      </c>
      <c r="D157" s="10" t="s">
        <v>21</v>
      </c>
      <c r="E157" s="11">
        <v>85000.038504380005</v>
      </c>
      <c r="F157" s="12">
        <v>60.389800000000001</v>
      </c>
      <c r="G157" s="13">
        <v>1736.18776487836</v>
      </c>
      <c r="H157" s="8">
        <v>43080</v>
      </c>
      <c r="I157" s="14">
        <v>1407.5231000000001</v>
      </c>
      <c r="J157" s="8">
        <v>43125</v>
      </c>
    </row>
    <row r="158" spans="1:10" x14ac:dyDescent="0.25">
      <c r="A158" s="7">
        <v>155</v>
      </c>
      <c r="B158" s="8">
        <v>43125</v>
      </c>
      <c r="C158" s="9" t="s">
        <v>92</v>
      </c>
      <c r="D158" s="10" t="s">
        <v>21</v>
      </c>
      <c r="E158" s="11">
        <v>47499.96356032</v>
      </c>
      <c r="F158" s="12">
        <v>33.747199999999999</v>
      </c>
      <c r="G158" s="13">
        <v>1769.93496487836</v>
      </c>
      <c r="H158" s="8">
        <v>43080</v>
      </c>
      <c r="I158" s="14">
        <v>1407.5231000000001</v>
      </c>
      <c r="J158" s="8">
        <v>43125</v>
      </c>
    </row>
    <row r="159" spans="1:10" x14ac:dyDescent="0.25">
      <c r="A159" s="7">
        <v>156</v>
      </c>
      <c r="B159" s="8">
        <v>43125</v>
      </c>
      <c r="C159" s="9" t="s">
        <v>101</v>
      </c>
      <c r="D159" s="10" t="s">
        <v>24</v>
      </c>
      <c r="E159" s="15">
        <v>-14761.87595568</v>
      </c>
      <c r="F159" s="16">
        <v>-9.9182000000000006</v>
      </c>
      <c r="G159" s="13">
        <v>1760.0167648783599</v>
      </c>
      <c r="H159" s="8">
        <v>43125</v>
      </c>
      <c r="I159" s="14">
        <v>1488.3624</v>
      </c>
      <c r="J159" s="8">
        <v>43125</v>
      </c>
    </row>
    <row r="160" spans="1:10" x14ac:dyDescent="0.25">
      <c r="A160" s="7">
        <v>157</v>
      </c>
      <c r="B160" s="8">
        <v>43125</v>
      </c>
      <c r="C160" s="9" t="s">
        <v>102</v>
      </c>
      <c r="D160" s="10" t="s">
        <v>24</v>
      </c>
      <c r="E160" s="15">
        <v>-11145.155323679999</v>
      </c>
      <c r="F160" s="16">
        <v>-7.4882</v>
      </c>
      <c r="G160" s="13">
        <v>1752.5285648783599</v>
      </c>
      <c r="H160" s="8">
        <v>43125</v>
      </c>
      <c r="I160" s="14">
        <v>1488.3624</v>
      </c>
      <c r="J160" s="8">
        <v>43125</v>
      </c>
    </row>
    <row r="161" spans="1:10" x14ac:dyDescent="0.25">
      <c r="A161" s="7">
        <v>158</v>
      </c>
      <c r="B161" s="8">
        <v>43156</v>
      </c>
      <c r="C161" s="9" t="s">
        <v>91</v>
      </c>
      <c r="D161" s="10" t="s">
        <v>21</v>
      </c>
      <c r="E161" s="11">
        <v>84999.977545560003</v>
      </c>
      <c r="F161" s="12">
        <v>60.375700000000002</v>
      </c>
      <c r="G161" s="13">
        <v>1812.90426487836</v>
      </c>
      <c r="H161" s="8">
        <v>43088</v>
      </c>
      <c r="I161" s="14">
        <v>1407.8507999999999</v>
      </c>
      <c r="J161" s="8">
        <v>43156</v>
      </c>
    </row>
    <row r="162" spans="1:10" x14ac:dyDescent="0.25">
      <c r="A162" s="7">
        <v>159</v>
      </c>
      <c r="B162" s="8">
        <v>43156</v>
      </c>
      <c r="C162" s="9" t="s">
        <v>92</v>
      </c>
      <c r="D162" s="10" t="s">
        <v>21</v>
      </c>
      <c r="E162" s="11">
        <v>47500.041281520003</v>
      </c>
      <c r="F162" s="12">
        <v>33.739400000000003</v>
      </c>
      <c r="G162" s="13">
        <v>1846.6436648783599</v>
      </c>
      <c r="H162" s="8">
        <v>43088</v>
      </c>
      <c r="I162" s="14">
        <v>1407.8507999999999</v>
      </c>
      <c r="J162" s="8">
        <v>43156</v>
      </c>
    </row>
    <row r="163" spans="1:10" x14ac:dyDescent="0.25">
      <c r="A163" s="7">
        <v>160</v>
      </c>
      <c r="B163" s="8">
        <v>43156</v>
      </c>
      <c r="C163" s="9" t="s">
        <v>103</v>
      </c>
      <c r="D163" s="10" t="s">
        <v>24</v>
      </c>
      <c r="E163" s="15">
        <v>-15119.15049009</v>
      </c>
      <c r="F163" s="16">
        <v>-10.303900000000001</v>
      </c>
      <c r="G163" s="13">
        <v>1836.33976487836</v>
      </c>
      <c r="H163" s="8">
        <v>43157</v>
      </c>
      <c r="I163" s="14">
        <v>1467.3231000000001</v>
      </c>
      <c r="J163" s="8">
        <v>43156</v>
      </c>
    </row>
    <row r="164" spans="1:10" x14ac:dyDescent="0.25">
      <c r="A164" s="7">
        <v>161</v>
      </c>
      <c r="B164" s="8">
        <v>43156</v>
      </c>
      <c r="C164" s="9" t="s">
        <v>104</v>
      </c>
      <c r="D164" s="10" t="s">
        <v>24</v>
      </c>
      <c r="E164" s="15">
        <v>-11414.74659183</v>
      </c>
      <c r="F164" s="16">
        <v>-7.7793000000000001</v>
      </c>
      <c r="G164" s="13">
        <v>1828.5604648783601</v>
      </c>
      <c r="H164" s="8">
        <v>43157</v>
      </c>
      <c r="I164" s="14">
        <v>1467.3231000000001</v>
      </c>
      <c r="J164" s="8">
        <v>43156</v>
      </c>
    </row>
    <row r="165" spans="1:10" x14ac:dyDescent="0.25">
      <c r="A165" s="7">
        <v>162</v>
      </c>
      <c r="B165" s="8">
        <v>43184</v>
      </c>
      <c r="C165" s="9" t="s">
        <v>91</v>
      </c>
      <c r="D165" s="10" t="s">
        <v>21</v>
      </c>
      <c r="E165" s="11">
        <v>85000.062539120001</v>
      </c>
      <c r="F165" s="12">
        <v>57.849200000000003</v>
      </c>
      <c r="G165" s="13">
        <v>1886.40966487836</v>
      </c>
      <c r="H165" s="8">
        <v>43117</v>
      </c>
      <c r="I165" s="14">
        <v>1469.3386</v>
      </c>
      <c r="J165" s="8">
        <v>43184</v>
      </c>
    </row>
    <row r="166" spans="1:10" x14ac:dyDescent="0.25">
      <c r="A166" s="7">
        <v>163</v>
      </c>
      <c r="B166" s="8">
        <v>43184</v>
      </c>
      <c r="C166" s="9" t="s">
        <v>92</v>
      </c>
      <c r="D166" s="10" t="s">
        <v>21</v>
      </c>
      <c r="E166" s="11">
        <v>47500.043591499998</v>
      </c>
      <c r="F166" s="12">
        <v>32.327500000000001</v>
      </c>
      <c r="G166" s="13">
        <v>1918.7371648783601</v>
      </c>
      <c r="H166" s="8">
        <v>43117</v>
      </c>
      <c r="I166" s="14">
        <v>1469.3386</v>
      </c>
      <c r="J166" s="8">
        <v>43184</v>
      </c>
    </row>
    <row r="167" spans="1:10" x14ac:dyDescent="0.25">
      <c r="A167" s="7">
        <v>164</v>
      </c>
      <c r="B167" s="8">
        <v>43184</v>
      </c>
      <c r="C167" s="9" t="s">
        <v>105</v>
      </c>
      <c r="D167" s="10" t="s">
        <v>24</v>
      </c>
      <c r="E167" s="15">
        <v>-15535.99324088</v>
      </c>
      <c r="F167" s="16">
        <v>-10.7902</v>
      </c>
      <c r="G167" s="13">
        <v>1907.9469648783599</v>
      </c>
      <c r="H167" s="8">
        <v>43185</v>
      </c>
      <c r="I167" s="14">
        <v>1439.8244</v>
      </c>
      <c r="J167" s="8">
        <v>43184</v>
      </c>
    </row>
    <row r="168" spans="1:10" x14ac:dyDescent="0.25">
      <c r="A168" s="7">
        <v>165</v>
      </c>
      <c r="B168" s="8">
        <v>43184</v>
      </c>
      <c r="C168" s="9" t="s">
        <v>106</v>
      </c>
      <c r="D168" s="10" t="s">
        <v>24</v>
      </c>
      <c r="E168" s="15">
        <v>-11729.5294746</v>
      </c>
      <c r="F168" s="16">
        <v>-8.1464999999999996</v>
      </c>
      <c r="G168" s="13">
        <v>1899.8004648783599</v>
      </c>
      <c r="H168" s="8">
        <v>43185</v>
      </c>
      <c r="I168" s="14">
        <v>1439.8244</v>
      </c>
      <c r="J168" s="8">
        <v>43184</v>
      </c>
    </row>
    <row r="169" spans="1:10" x14ac:dyDescent="0.25">
      <c r="A169" s="7">
        <v>166</v>
      </c>
      <c r="B169" s="8">
        <v>43215</v>
      </c>
      <c r="C169" s="9" t="s">
        <v>91</v>
      </c>
      <c r="D169" s="10" t="s">
        <v>21</v>
      </c>
      <c r="E169" s="11">
        <v>84999.960817200001</v>
      </c>
      <c r="F169" s="12">
        <v>57.485999999999997</v>
      </c>
      <c r="G169" s="13">
        <v>1957.28646487836</v>
      </c>
      <c r="H169" s="8">
        <v>43151</v>
      </c>
      <c r="I169" s="14">
        <v>1478.6202000000001</v>
      </c>
      <c r="J169" s="8">
        <v>43215</v>
      </c>
    </row>
    <row r="170" spans="1:10" x14ac:dyDescent="0.25">
      <c r="A170" s="7">
        <v>167</v>
      </c>
      <c r="B170" s="8">
        <v>43215</v>
      </c>
      <c r="C170" s="9" t="s">
        <v>92</v>
      </c>
      <c r="D170" s="10" t="s">
        <v>21</v>
      </c>
      <c r="E170" s="11">
        <v>47499.934614899998</v>
      </c>
      <c r="F170" s="12">
        <v>32.124499999999998</v>
      </c>
      <c r="G170" s="13">
        <v>1989.4109648783599</v>
      </c>
      <c r="H170" s="8">
        <v>43151</v>
      </c>
      <c r="I170" s="14">
        <v>1478.6202000000001</v>
      </c>
      <c r="J170" s="8">
        <v>43215</v>
      </c>
    </row>
    <row r="171" spans="1:10" x14ac:dyDescent="0.25">
      <c r="A171" s="7">
        <v>168</v>
      </c>
      <c r="B171" s="8">
        <v>43215</v>
      </c>
      <c r="C171" s="9" t="s">
        <v>107</v>
      </c>
      <c r="D171" s="10" t="s">
        <v>24</v>
      </c>
      <c r="E171" s="15">
        <v>-15393.33378384</v>
      </c>
      <c r="F171" s="16">
        <v>-10.751200000000001</v>
      </c>
      <c r="G171" s="13">
        <v>1978.65976487836</v>
      </c>
      <c r="H171" s="8">
        <v>43215</v>
      </c>
      <c r="I171" s="14">
        <v>1431.7782</v>
      </c>
      <c r="J171" s="8">
        <v>43215</v>
      </c>
    </row>
    <row r="172" spans="1:10" x14ac:dyDescent="0.25">
      <c r="A172" s="7">
        <v>169</v>
      </c>
      <c r="B172" s="8">
        <v>43215</v>
      </c>
      <c r="C172" s="9" t="s">
        <v>108</v>
      </c>
      <c r="D172" s="10" t="s">
        <v>24</v>
      </c>
      <c r="E172" s="15">
        <v>-11621.88682722</v>
      </c>
      <c r="F172" s="16">
        <v>-8.1171000000000006</v>
      </c>
      <c r="G172" s="13">
        <v>1970.54266487836</v>
      </c>
      <c r="H172" s="8">
        <v>43215</v>
      </c>
      <c r="I172" s="14">
        <v>1431.7782</v>
      </c>
      <c r="J172" s="8">
        <v>43215</v>
      </c>
    </row>
    <row r="173" spans="1:10" x14ac:dyDescent="0.25">
      <c r="A173" s="7">
        <v>170</v>
      </c>
      <c r="B173" s="8">
        <v>43245</v>
      </c>
      <c r="C173" s="9" t="s">
        <v>91</v>
      </c>
      <c r="D173" s="10" t="s">
        <v>21</v>
      </c>
      <c r="E173" s="11">
        <v>84999.972710240007</v>
      </c>
      <c r="F173" s="12">
        <v>58.595599999999997</v>
      </c>
      <c r="G173" s="13">
        <v>2029.1382648783599</v>
      </c>
      <c r="H173" s="8">
        <v>43180</v>
      </c>
      <c r="I173" s="14">
        <v>1450.6204</v>
      </c>
      <c r="J173" s="8">
        <v>43245</v>
      </c>
    </row>
    <row r="174" spans="1:10" x14ac:dyDescent="0.25">
      <c r="A174" s="7">
        <v>171</v>
      </c>
      <c r="B174" s="8">
        <v>43245</v>
      </c>
      <c r="C174" s="9" t="s">
        <v>92</v>
      </c>
      <c r="D174" s="10" t="s">
        <v>21</v>
      </c>
      <c r="E174" s="11">
        <v>47499.984749839998</v>
      </c>
      <c r="F174" s="12">
        <v>32.744599999999998</v>
      </c>
      <c r="G174" s="13">
        <v>2061.8828648783601</v>
      </c>
      <c r="H174" s="8">
        <v>43180</v>
      </c>
      <c r="I174" s="14">
        <v>1450.6204</v>
      </c>
      <c r="J174" s="8">
        <v>43245</v>
      </c>
    </row>
    <row r="175" spans="1:10" x14ac:dyDescent="0.25">
      <c r="A175" s="7">
        <v>172</v>
      </c>
      <c r="B175" s="8">
        <v>43245</v>
      </c>
      <c r="C175" s="9" t="s">
        <v>109</v>
      </c>
      <c r="D175" s="10" t="s">
        <v>24</v>
      </c>
      <c r="E175" s="15">
        <v>-15725.193849920001</v>
      </c>
      <c r="F175" s="16">
        <v>-11.1304</v>
      </c>
      <c r="G175" s="13">
        <v>2050.7524648783601</v>
      </c>
      <c r="H175" s="8">
        <v>43245</v>
      </c>
      <c r="I175" s="14">
        <v>1412.8148000000001</v>
      </c>
      <c r="J175" s="8">
        <v>43245</v>
      </c>
    </row>
    <row r="176" spans="1:10" x14ac:dyDescent="0.25">
      <c r="A176" s="7">
        <v>173</v>
      </c>
      <c r="B176" s="8">
        <v>43245</v>
      </c>
      <c r="C176" s="9" t="s">
        <v>110</v>
      </c>
      <c r="D176" s="10" t="s">
        <v>24</v>
      </c>
      <c r="E176" s="15">
        <v>-11872.306608839999</v>
      </c>
      <c r="F176" s="16">
        <v>-8.4032999999999998</v>
      </c>
      <c r="G176" s="13">
        <v>2042.3491648783599</v>
      </c>
      <c r="H176" s="8">
        <v>43245</v>
      </c>
      <c r="I176" s="14">
        <v>1412.8148000000001</v>
      </c>
      <c r="J176" s="8">
        <v>43245</v>
      </c>
    </row>
    <row r="177" spans="1:10" x14ac:dyDescent="0.25">
      <c r="A177" s="7">
        <v>174</v>
      </c>
      <c r="B177" s="8">
        <v>43276</v>
      </c>
      <c r="C177" s="9" t="s">
        <v>91</v>
      </c>
      <c r="D177" s="10" t="s">
        <v>21</v>
      </c>
      <c r="E177" s="11">
        <v>84999.946865940001</v>
      </c>
      <c r="F177" s="12">
        <v>59.366700000000002</v>
      </c>
      <c r="G177" s="13">
        <v>2101.7158648783602</v>
      </c>
      <c r="H177" s="8">
        <v>43215</v>
      </c>
      <c r="I177" s="14">
        <v>1431.7782</v>
      </c>
      <c r="J177" s="8">
        <v>43276</v>
      </c>
    </row>
    <row r="178" spans="1:10" x14ac:dyDescent="0.25">
      <c r="A178" s="7">
        <v>175</v>
      </c>
      <c r="B178" s="8">
        <v>43276</v>
      </c>
      <c r="C178" s="9" t="s">
        <v>92</v>
      </c>
      <c r="D178" s="10" t="s">
        <v>21</v>
      </c>
      <c r="E178" s="11">
        <v>47499.957674099998</v>
      </c>
      <c r="F178" s="12">
        <v>33.1755</v>
      </c>
      <c r="G178" s="13">
        <v>2134.89136487836</v>
      </c>
      <c r="H178" s="8">
        <v>43215</v>
      </c>
      <c r="I178" s="14">
        <v>1431.7782</v>
      </c>
      <c r="J178" s="8">
        <v>43276</v>
      </c>
    </row>
    <row r="179" spans="1:10" x14ac:dyDescent="0.25">
      <c r="A179" s="7">
        <v>176</v>
      </c>
      <c r="B179" s="8">
        <v>43276</v>
      </c>
      <c r="C179" s="9" t="s">
        <v>111</v>
      </c>
      <c r="D179" s="10" t="s">
        <v>24</v>
      </c>
      <c r="E179" s="15">
        <v>-15786.53249607</v>
      </c>
      <c r="F179" s="16">
        <v>-11.2707</v>
      </c>
      <c r="G179" s="13">
        <v>2123.62066487836</v>
      </c>
      <c r="H179" s="8">
        <v>43276</v>
      </c>
      <c r="I179" s="14">
        <v>1400.6701</v>
      </c>
      <c r="J179" s="8">
        <v>43276</v>
      </c>
    </row>
    <row r="180" spans="1:10" x14ac:dyDescent="0.25">
      <c r="A180" s="7">
        <v>177</v>
      </c>
      <c r="B180" s="8">
        <v>43276</v>
      </c>
      <c r="C180" s="9" t="s">
        <v>112</v>
      </c>
      <c r="D180" s="10" t="s">
        <v>24</v>
      </c>
      <c r="E180" s="15">
        <v>-11918.72208193</v>
      </c>
      <c r="F180" s="16">
        <v>-8.5092999999999996</v>
      </c>
      <c r="G180" s="13">
        <v>2115.1113648783598</v>
      </c>
      <c r="H180" s="8">
        <v>43276</v>
      </c>
      <c r="I180" s="14">
        <v>1400.6701</v>
      </c>
      <c r="J180" s="8">
        <v>43276</v>
      </c>
    </row>
    <row r="181" spans="1:10" x14ac:dyDescent="0.25">
      <c r="A181" s="7">
        <v>178</v>
      </c>
      <c r="B181" s="8">
        <v>43306</v>
      </c>
      <c r="C181" s="9" t="s">
        <v>91</v>
      </c>
      <c r="D181" s="10" t="s">
        <v>21</v>
      </c>
      <c r="E181" s="11">
        <v>85000.009220420005</v>
      </c>
      <c r="F181" s="12">
        <v>59.784700000000001</v>
      </c>
      <c r="G181" s="13">
        <v>2174.89606487836</v>
      </c>
      <c r="H181" s="8">
        <v>43237</v>
      </c>
      <c r="I181" s="14">
        <v>1421.7686000000001</v>
      </c>
      <c r="J181" s="8">
        <v>43306</v>
      </c>
    </row>
    <row r="182" spans="1:10" x14ac:dyDescent="0.25">
      <c r="A182" s="7">
        <v>179</v>
      </c>
      <c r="B182" s="8">
        <v>43306</v>
      </c>
      <c r="C182" s="9" t="s">
        <v>92</v>
      </c>
      <c r="D182" s="10" t="s">
        <v>21</v>
      </c>
      <c r="E182" s="11">
        <v>47500.009334260001</v>
      </c>
      <c r="F182" s="12">
        <v>33.409100000000002</v>
      </c>
      <c r="G182" s="13">
        <v>2208.3051648783598</v>
      </c>
      <c r="H182" s="8">
        <v>43237</v>
      </c>
      <c r="I182" s="14">
        <v>1421.7686000000001</v>
      </c>
      <c r="J182" s="8">
        <v>43306</v>
      </c>
    </row>
    <row r="183" spans="1:10" x14ac:dyDescent="0.25">
      <c r="A183" s="7">
        <v>180</v>
      </c>
      <c r="B183" s="8">
        <v>43306</v>
      </c>
      <c r="C183" s="9" t="s">
        <v>113</v>
      </c>
      <c r="D183" s="10" t="s">
        <v>24</v>
      </c>
      <c r="E183" s="15">
        <v>-15614.70145142</v>
      </c>
      <c r="F183" s="16">
        <v>-11.2499</v>
      </c>
      <c r="G183" s="13">
        <v>2197.05526487836</v>
      </c>
      <c r="H183" s="8">
        <v>43306</v>
      </c>
      <c r="I183" s="14">
        <v>1387.9857999999999</v>
      </c>
      <c r="J183" s="8">
        <v>43306</v>
      </c>
    </row>
    <row r="184" spans="1:10" x14ac:dyDescent="0.25">
      <c r="A184" s="7">
        <v>181</v>
      </c>
      <c r="B184" s="8">
        <v>43306</v>
      </c>
      <c r="C184" s="9" t="s">
        <v>114</v>
      </c>
      <c r="D184" s="10" t="s">
        <v>24</v>
      </c>
      <c r="E184" s="15">
        <v>-11788.99619088</v>
      </c>
      <c r="F184" s="16">
        <v>-8.4936000000000007</v>
      </c>
      <c r="G184" s="13">
        <v>2188.5616648783598</v>
      </c>
      <c r="H184" s="8">
        <v>43306</v>
      </c>
      <c r="I184" s="14">
        <v>1387.9857999999999</v>
      </c>
      <c r="J184" s="8">
        <v>43306</v>
      </c>
    </row>
    <row r="185" spans="1:10" x14ac:dyDescent="0.25">
      <c r="A185" s="7">
        <v>182</v>
      </c>
      <c r="B185" s="8">
        <v>43337</v>
      </c>
      <c r="C185" s="9" t="s">
        <v>91</v>
      </c>
      <c r="D185" s="10" t="s">
        <v>21</v>
      </c>
      <c r="E185" s="11">
        <v>84999.995601400005</v>
      </c>
      <c r="F185" s="12">
        <v>60.222799999999999</v>
      </c>
      <c r="G185" s="13">
        <v>2248.7844648783598</v>
      </c>
      <c r="H185" s="8">
        <v>43272</v>
      </c>
      <c r="I185" s="14">
        <v>1411.4255000000001</v>
      </c>
      <c r="J185" s="8">
        <v>43337</v>
      </c>
    </row>
    <row r="186" spans="1:10" x14ac:dyDescent="0.25">
      <c r="A186" s="7">
        <v>183</v>
      </c>
      <c r="B186" s="8">
        <v>43337</v>
      </c>
      <c r="C186" s="9" t="s">
        <v>92</v>
      </c>
      <c r="D186" s="10" t="s">
        <v>21</v>
      </c>
      <c r="E186" s="11">
        <v>47499.972634450001</v>
      </c>
      <c r="F186" s="12">
        <v>33.6539</v>
      </c>
      <c r="G186" s="13">
        <v>2282.4383648783601</v>
      </c>
      <c r="H186" s="8">
        <v>43272</v>
      </c>
      <c r="I186" s="14">
        <v>1411.4255000000001</v>
      </c>
      <c r="J186" s="8">
        <v>43337</v>
      </c>
    </row>
    <row r="187" spans="1:10" x14ac:dyDescent="0.25">
      <c r="A187" s="7">
        <v>184</v>
      </c>
      <c r="B187" s="8">
        <v>43337</v>
      </c>
      <c r="C187" s="9" t="s">
        <v>115</v>
      </c>
      <c r="D187" s="10" t="s">
        <v>24</v>
      </c>
      <c r="E187" s="15">
        <v>-15805.040456160001</v>
      </c>
      <c r="F187" s="16">
        <v>-11.3332</v>
      </c>
      <c r="G187" s="13">
        <v>2271.10516487836</v>
      </c>
      <c r="H187" s="8">
        <v>43339</v>
      </c>
      <c r="I187" s="14">
        <v>1394.5788</v>
      </c>
      <c r="J187" s="8">
        <v>43337</v>
      </c>
    </row>
    <row r="188" spans="1:10" x14ac:dyDescent="0.25">
      <c r="A188" s="7">
        <v>185</v>
      </c>
      <c r="B188" s="8">
        <v>43337</v>
      </c>
      <c r="C188" s="9" t="s">
        <v>116</v>
      </c>
      <c r="D188" s="10" t="s">
        <v>24</v>
      </c>
      <c r="E188" s="15">
        <v>-11932.7135022</v>
      </c>
      <c r="F188" s="16">
        <v>-8.5564999999999998</v>
      </c>
      <c r="G188" s="13">
        <v>2262.5486648783599</v>
      </c>
      <c r="H188" s="8">
        <v>43339</v>
      </c>
      <c r="I188" s="14">
        <v>1394.5788</v>
      </c>
      <c r="J188" s="8">
        <v>43337</v>
      </c>
    </row>
    <row r="189" spans="1:10" x14ac:dyDescent="0.25">
      <c r="A189" s="7">
        <v>186</v>
      </c>
      <c r="B189" s="8">
        <v>43368</v>
      </c>
      <c r="C189" s="9" t="s">
        <v>117</v>
      </c>
      <c r="D189" s="10" t="s">
        <v>21</v>
      </c>
      <c r="E189" s="11">
        <v>100000.02148968</v>
      </c>
      <c r="F189" s="12">
        <v>71.356700000000004</v>
      </c>
      <c r="G189" s="13">
        <v>2333.9053648783602</v>
      </c>
      <c r="H189" s="8">
        <v>43299</v>
      </c>
      <c r="I189" s="14">
        <v>1401.4104</v>
      </c>
      <c r="J189" s="8">
        <v>43368</v>
      </c>
    </row>
    <row r="190" spans="1:10" x14ac:dyDescent="0.25">
      <c r="A190" s="7">
        <v>187</v>
      </c>
      <c r="B190" s="8">
        <v>43368</v>
      </c>
      <c r="C190" s="9" t="s">
        <v>118</v>
      </c>
      <c r="D190" s="10" t="s">
        <v>21</v>
      </c>
      <c r="E190" s="11">
        <v>47499.964661760001</v>
      </c>
      <c r="F190" s="12">
        <v>33.894399999999997</v>
      </c>
      <c r="G190" s="13">
        <v>2367.7997648783598</v>
      </c>
      <c r="H190" s="8">
        <v>43299</v>
      </c>
      <c r="I190" s="14">
        <v>1401.4104</v>
      </c>
      <c r="J190" s="8">
        <v>43368</v>
      </c>
    </row>
    <row r="191" spans="1:10" x14ac:dyDescent="0.25">
      <c r="A191" s="7">
        <v>188</v>
      </c>
      <c r="B191" s="8">
        <v>43368</v>
      </c>
      <c r="C191" s="9" t="s">
        <v>119</v>
      </c>
      <c r="D191" s="10" t="s">
        <v>24</v>
      </c>
      <c r="E191" s="15">
        <v>-16213.684329920001</v>
      </c>
      <c r="F191" s="16">
        <v>-11.9672</v>
      </c>
      <c r="G191" s="13">
        <v>2355.8325648783598</v>
      </c>
      <c r="H191" s="8">
        <v>43368</v>
      </c>
      <c r="I191" s="14">
        <v>1354.8435999999999</v>
      </c>
      <c r="J191" s="8">
        <v>43368</v>
      </c>
    </row>
    <row r="192" spans="1:10" x14ac:dyDescent="0.25">
      <c r="A192" s="7">
        <v>189</v>
      </c>
      <c r="B192" s="8">
        <v>43368</v>
      </c>
      <c r="C192" s="9" t="s">
        <v>120</v>
      </c>
      <c r="D192" s="10" t="s">
        <v>24</v>
      </c>
      <c r="E192" s="15">
        <v>-11760.042448</v>
      </c>
      <c r="F192" s="16">
        <v>-8.68</v>
      </c>
      <c r="G192" s="13">
        <v>2347.15256487836</v>
      </c>
      <c r="H192" s="8">
        <v>43368</v>
      </c>
      <c r="I192" s="14">
        <v>1354.8435999999999</v>
      </c>
      <c r="J192" s="8">
        <v>43368</v>
      </c>
    </row>
    <row r="193" spans="1:10" x14ac:dyDescent="0.25">
      <c r="A193" s="7">
        <v>190</v>
      </c>
      <c r="B193" s="8">
        <v>43398</v>
      </c>
      <c r="C193" s="9" t="s">
        <v>117</v>
      </c>
      <c r="D193" s="10" t="s">
        <v>21</v>
      </c>
      <c r="E193" s="11">
        <v>99999.979006160007</v>
      </c>
      <c r="F193" s="12">
        <v>71.687799999999996</v>
      </c>
      <c r="G193" s="13">
        <v>2418.8403648783601</v>
      </c>
      <c r="H193" s="8">
        <v>43333</v>
      </c>
      <c r="I193" s="14">
        <v>1394.9372000000001</v>
      </c>
      <c r="J193" s="8">
        <v>43398</v>
      </c>
    </row>
    <row r="194" spans="1:10" x14ac:dyDescent="0.25">
      <c r="A194" s="7">
        <v>191</v>
      </c>
      <c r="B194" s="8">
        <v>43398</v>
      </c>
      <c r="C194" s="9" t="s">
        <v>118</v>
      </c>
      <c r="D194" s="10" t="s">
        <v>21</v>
      </c>
      <c r="E194" s="11">
        <v>47499.983053240001</v>
      </c>
      <c r="F194" s="12">
        <v>34.051699999999997</v>
      </c>
      <c r="G194" s="13">
        <v>2452.8920648783601</v>
      </c>
      <c r="H194" s="8">
        <v>43333</v>
      </c>
      <c r="I194" s="14">
        <v>1394.9372000000001</v>
      </c>
      <c r="J194" s="8">
        <v>43398</v>
      </c>
    </row>
    <row r="195" spans="1:10" x14ac:dyDescent="0.25">
      <c r="A195" s="7">
        <v>192</v>
      </c>
      <c r="B195" s="8">
        <v>43398</v>
      </c>
      <c r="C195" s="9" t="s">
        <v>121</v>
      </c>
      <c r="D195" s="10" t="s">
        <v>24</v>
      </c>
      <c r="E195" s="15">
        <v>-16221.929748369999</v>
      </c>
      <c r="F195" s="16">
        <v>-12.154299999999999</v>
      </c>
      <c r="G195" s="13">
        <v>2440.7377648783599</v>
      </c>
      <c r="H195" s="8">
        <v>43398</v>
      </c>
      <c r="I195" s="14">
        <v>1334.6659</v>
      </c>
      <c r="J195" s="8">
        <v>43398</v>
      </c>
    </row>
    <row r="196" spans="1:10" x14ac:dyDescent="0.25">
      <c r="A196" s="7">
        <v>193</v>
      </c>
      <c r="B196" s="8">
        <v>43398</v>
      </c>
      <c r="C196" s="9" t="s">
        <v>122</v>
      </c>
      <c r="D196" s="10" t="s">
        <v>24</v>
      </c>
      <c r="E196" s="15">
        <v>-11765.88070804</v>
      </c>
      <c r="F196" s="16">
        <v>-8.8155999999999999</v>
      </c>
      <c r="G196" s="13">
        <v>2431.92216487836</v>
      </c>
      <c r="H196" s="8">
        <v>43398</v>
      </c>
      <c r="I196" s="14">
        <v>1334.6659</v>
      </c>
      <c r="J196" s="8">
        <v>43398</v>
      </c>
    </row>
    <row r="197" spans="1:10" x14ac:dyDescent="0.25">
      <c r="A197" s="7">
        <v>194</v>
      </c>
      <c r="B197" s="8">
        <v>43429</v>
      </c>
      <c r="C197" s="9" t="s">
        <v>117</v>
      </c>
      <c r="D197" s="10" t="s">
        <v>21</v>
      </c>
      <c r="E197" s="11">
        <v>99999.985497090005</v>
      </c>
      <c r="F197" s="12">
        <v>74.354699999999994</v>
      </c>
      <c r="G197" s="13">
        <v>2506.2768648783599</v>
      </c>
      <c r="H197" s="8">
        <v>43361</v>
      </c>
      <c r="I197" s="14">
        <v>1344.9047</v>
      </c>
      <c r="J197" s="8">
        <v>43429</v>
      </c>
    </row>
    <row r="198" spans="1:10" x14ac:dyDescent="0.25">
      <c r="A198" s="7">
        <v>195</v>
      </c>
      <c r="B198" s="8">
        <v>43429</v>
      </c>
      <c r="C198" s="9" t="s">
        <v>118</v>
      </c>
      <c r="D198" s="10" t="s">
        <v>21</v>
      </c>
      <c r="E198" s="11">
        <v>47500.016646950004</v>
      </c>
      <c r="F198" s="12">
        <v>35.3185</v>
      </c>
      <c r="G198" s="13">
        <v>2541.5953648783602</v>
      </c>
      <c r="H198" s="8">
        <v>43361</v>
      </c>
      <c r="I198" s="14">
        <v>1344.9047</v>
      </c>
      <c r="J198" s="8">
        <v>43429</v>
      </c>
    </row>
    <row r="199" spans="1:10" x14ac:dyDescent="0.25">
      <c r="A199" s="7">
        <v>196</v>
      </c>
      <c r="B199" s="8">
        <v>43429</v>
      </c>
      <c r="C199" s="9" t="s">
        <v>123</v>
      </c>
      <c r="D199" s="10" t="s">
        <v>24</v>
      </c>
      <c r="E199" s="15">
        <v>-16287.12820044</v>
      </c>
      <c r="F199" s="16">
        <v>-11.7972</v>
      </c>
      <c r="G199" s="13">
        <v>2529.7981648783598</v>
      </c>
      <c r="H199" s="8">
        <v>43430</v>
      </c>
      <c r="I199" s="14">
        <v>1380.5926999999999</v>
      </c>
      <c r="J199" s="8">
        <v>43429</v>
      </c>
    </row>
    <row r="200" spans="1:10" x14ac:dyDescent="0.25">
      <c r="A200" s="7">
        <v>197</v>
      </c>
      <c r="B200" s="8">
        <v>43429</v>
      </c>
      <c r="C200" s="9" t="s">
        <v>124</v>
      </c>
      <c r="D200" s="10" t="s">
        <v>24</v>
      </c>
      <c r="E200" s="15">
        <v>-11813.31755609</v>
      </c>
      <c r="F200" s="16">
        <v>-8.5566999999999993</v>
      </c>
      <c r="G200" s="13">
        <v>2521.2414648783601</v>
      </c>
      <c r="H200" s="8">
        <v>43430</v>
      </c>
      <c r="I200" s="14">
        <v>1380.5926999999999</v>
      </c>
      <c r="J200" s="8">
        <v>43429</v>
      </c>
    </row>
    <row r="201" spans="1:10" x14ac:dyDescent="0.25">
      <c r="A201" s="7">
        <v>198</v>
      </c>
      <c r="B201" s="8">
        <v>43459</v>
      </c>
      <c r="C201" s="9" t="s">
        <v>117</v>
      </c>
      <c r="D201" s="10" t="s">
        <v>21</v>
      </c>
      <c r="E201" s="11">
        <v>99999.997369999997</v>
      </c>
      <c r="F201" s="12">
        <v>74.855199999999996</v>
      </c>
      <c r="G201" s="13">
        <v>2596.0966648783601</v>
      </c>
      <c r="H201" s="8">
        <v>43390</v>
      </c>
      <c r="I201" s="14">
        <v>1335.9124999999999</v>
      </c>
      <c r="J201" s="8">
        <v>43459</v>
      </c>
    </row>
    <row r="202" spans="1:10" x14ac:dyDescent="0.25">
      <c r="A202" s="7">
        <v>199</v>
      </c>
      <c r="B202" s="8">
        <v>43459</v>
      </c>
      <c r="C202" s="9" t="s">
        <v>118</v>
      </c>
      <c r="D202" s="10" t="s">
        <v>21</v>
      </c>
      <c r="E202" s="11">
        <v>47499.972032500002</v>
      </c>
      <c r="F202" s="12">
        <v>35.556199999999997</v>
      </c>
      <c r="G202" s="13">
        <v>2631.6528648783601</v>
      </c>
      <c r="H202" s="8">
        <v>43390</v>
      </c>
      <c r="I202" s="14">
        <v>1335.9124999999999</v>
      </c>
      <c r="J202" s="8">
        <v>43459</v>
      </c>
    </row>
    <row r="203" spans="1:10" x14ac:dyDescent="0.25">
      <c r="A203" s="7">
        <v>200</v>
      </c>
      <c r="B203" s="8">
        <v>43459</v>
      </c>
      <c r="C203" s="9" t="s">
        <v>125</v>
      </c>
      <c r="D203" s="10" t="s">
        <v>24</v>
      </c>
      <c r="E203" s="15">
        <v>-16314.5809955</v>
      </c>
      <c r="F203" s="16">
        <v>-11.6173</v>
      </c>
      <c r="G203" s="13">
        <v>2620.0355648783602</v>
      </c>
      <c r="H203" s="8">
        <v>43460</v>
      </c>
      <c r="I203" s="14">
        <v>1404.335</v>
      </c>
      <c r="J203" s="8">
        <v>43459</v>
      </c>
    </row>
    <row r="204" spans="1:10" x14ac:dyDescent="0.25">
      <c r="A204" s="7">
        <v>201</v>
      </c>
      <c r="B204" s="8">
        <v>43459</v>
      </c>
      <c r="C204" s="9" t="s">
        <v>126</v>
      </c>
      <c r="D204" s="10" t="s">
        <v>24</v>
      </c>
      <c r="E204" s="15">
        <v>-11833.0671435</v>
      </c>
      <c r="F204" s="16">
        <v>-8.4260999999999999</v>
      </c>
      <c r="G204" s="13">
        <v>2611.6094648783601</v>
      </c>
      <c r="H204" s="8">
        <v>43460</v>
      </c>
      <c r="I204" s="14">
        <v>1404.335</v>
      </c>
      <c r="J204" s="8">
        <v>43459</v>
      </c>
    </row>
    <row r="205" spans="1:10" x14ac:dyDescent="0.25">
      <c r="A205" s="7">
        <v>202</v>
      </c>
      <c r="B205" s="8">
        <v>43490</v>
      </c>
      <c r="C205" s="9" t="s">
        <v>117</v>
      </c>
      <c r="D205" s="10" t="s">
        <v>21</v>
      </c>
      <c r="E205" s="11">
        <v>100000.01184264</v>
      </c>
      <c r="F205" s="12">
        <v>71.385300000000001</v>
      </c>
      <c r="G205" s="13">
        <v>2682.99476487836</v>
      </c>
      <c r="H205" s="8">
        <v>43462</v>
      </c>
      <c r="I205" s="14">
        <v>1400.8488</v>
      </c>
      <c r="J205" s="8">
        <v>43490</v>
      </c>
    </row>
    <row r="206" spans="1:10" x14ac:dyDescent="0.25">
      <c r="A206" s="7">
        <v>203</v>
      </c>
      <c r="B206" s="8">
        <v>43490</v>
      </c>
      <c r="C206" s="9" t="s">
        <v>118</v>
      </c>
      <c r="D206" s="10" t="s">
        <v>21</v>
      </c>
      <c r="E206" s="11">
        <v>47499.981110399996</v>
      </c>
      <c r="F206" s="12">
        <v>33.908000000000001</v>
      </c>
      <c r="G206" s="13">
        <v>2716.9027648783599</v>
      </c>
      <c r="H206" s="8">
        <v>43462</v>
      </c>
      <c r="I206" s="14">
        <v>1400.8488</v>
      </c>
      <c r="J206" s="8">
        <v>43490</v>
      </c>
    </row>
    <row r="207" spans="1:10" x14ac:dyDescent="0.25">
      <c r="A207" s="7">
        <v>204</v>
      </c>
      <c r="B207" s="8">
        <v>43490</v>
      </c>
      <c r="C207" s="9" t="s">
        <v>127</v>
      </c>
      <c r="D207" s="10" t="s">
        <v>24</v>
      </c>
      <c r="E207" s="15">
        <v>-16213.223884700001</v>
      </c>
      <c r="F207" s="16">
        <v>-11.731</v>
      </c>
      <c r="G207" s="13">
        <v>2705.1717648783601</v>
      </c>
      <c r="H207" s="8">
        <v>43490</v>
      </c>
      <c r="I207" s="14">
        <v>1382.0836999999999</v>
      </c>
      <c r="J207" s="8">
        <v>43490</v>
      </c>
    </row>
    <row r="208" spans="1:10" x14ac:dyDescent="0.25">
      <c r="A208" s="7">
        <v>205</v>
      </c>
      <c r="B208" s="8">
        <v>43490</v>
      </c>
      <c r="C208" s="9" t="s">
        <v>128</v>
      </c>
      <c r="D208" s="10" t="s">
        <v>24</v>
      </c>
      <c r="E208" s="15">
        <v>-11759.59736982</v>
      </c>
      <c r="F208" s="16">
        <v>-8.5085999999999995</v>
      </c>
      <c r="G208" s="13">
        <v>2696.66316487836</v>
      </c>
      <c r="H208" s="8">
        <v>43490</v>
      </c>
      <c r="I208" s="14">
        <v>1382.0836999999999</v>
      </c>
      <c r="J208" s="8">
        <v>43490</v>
      </c>
    </row>
    <row r="209" spans="1:10" x14ac:dyDescent="0.25">
      <c r="A209" s="7">
        <v>206</v>
      </c>
      <c r="B209" s="8">
        <v>43521</v>
      </c>
      <c r="C209" s="9" t="s">
        <v>117</v>
      </c>
      <c r="D209" s="10" t="s">
        <v>21</v>
      </c>
      <c r="E209" s="11">
        <v>100000.01184264</v>
      </c>
      <c r="F209" s="12">
        <v>71.385300000000001</v>
      </c>
      <c r="G209" s="13">
        <v>2768.0484648783599</v>
      </c>
      <c r="H209" s="8">
        <v>43462</v>
      </c>
      <c r="I209" s="14">
        <v>1400.8488</v>
      </c>
      <c r="J209" s="8">
        <v>43521</v>
      </c>
    </row>
    <row r="210" spans="1:10" x14ac:dyDescent="0.25">
      <c r="A210" s="7">
        <v>207</v>
      </c>
      <c r="B210" s="8">
        <v>43521</v>
      </c>
      <c r="C210" s="9" t="s">
        <v>118</v>
      </c>
      <c r="D210" s="10" t="s">
        <v>21</v>
      </c>
      <c r="E210" s="11">
        <v>47499.981110399996</v>
      </c>
      <c r="F210" s="12">
        <v>33.908000000000001</v>
      </c>
      <c r="G210" s="13">
        <v>2801.9564648783598</v>
      </c>
      <c r="H210" s="8">
        <v>43462</v>
      </c>
      <c r="I210" s="14">
        <v>1400.8488</v>
      </c>
      <c r="J210" s="8">
        <v>43521</v>
      </c>
    </row>
    <row r="211" spans="1:10" x14ac:dyDescent="0.25">
      <c r="A211" s="7">
        <v>208</v>
      </c>
      <c r="B211" s="8">
        <v>43521</v>
      </c>
      <c r="C211" s="9" t="s">
        <v>129</v>
      </c>
      <c r="D211" s="10" t="s">
        <v>24</v>
      </c>
      <c r="E211" s="15">
        <v>-16306.64565018</v>
      </c>
      <c r="F211" s="16">
        <v>-11.525700000000001</v>
      </c>
      <c r="G211" s="13">
        <v>2790.4307648783602</v>
      </c>
      <c r="H211" s="8">
        <v>43521</v>
      </c>
      <c r="I211" s="14">
        <v>1414.8073999999999</v>
      </c>
      <c r="J211" s="8">
        <v>43521</v>
      </c>
    </row>
    <row r="212" spans="1:10" x14ac:dyDescent="0.25">
      <c r="A212" s="7">
        <v>209</v>
      </c>
      <c r="B212" s="8">
        <v>43521</v>
      </c>
      <c r="C212" s="9" t="s">
        <v>130</v>
      </c>
      <c r="D212" s="10" t="s">
        <v>24</v>
      </c>
      <c r="E212" s="15">
        <v>-11827.365421779999</v>
      </c>
      <c r="F212" s="16">
        <v>-8.3597000000000001</v>
      </c>
      <c r="G212" s="13">
        <v>2782.0710648783602</v>
      </c>
      <c r="H212" s="8">
        <v>43521</v>
      </c>
      <c r="I212" s="14">
        <v>1414.8073999999999</v>
      </c>
      <c r="J212" s="8">
        <v>43521</v>
      </c>
    </row>
    <row r="213" spans="1:10" x14ac:dyDescent="0.25">
      <c r="A213" s="7">
        <v>210</v>
      </c>
      <c r="B213" s="8">
        <v>43549</v>
      </c>
      <c r="C213" s="9" t="s">
        <v>117</v>
      </c>
      <c r="D213" s="10" t="s">
        <v>21</v>
      </c>
      <c r="E213" s="11">
        <v>99999.966238039997</v>
      </c>
      <c r="F213" s="12">
        <v>71.090800000000002</v>
      </c>
      <c r="G213" s="13">
        <v>2853.1618648783601</v>
      </c>
      <c r="H213" s="8">
        <v>43483</v>
      </c>
      <c r="I213" s="14">
        <v>1406.6513</v>
      </c>
      <c r="J213" s="8">
        <v>43549</v>
      </c>
    </row>
    <row r="214" spans="1:10" x14ac:dyDescent="0.25">
      <c r="A214" s="7">
        <v>211</v>
      </c>
      <c r="B214" s="8">
        <v>43549</v>
      </c>
      <c r="C214" s="9" t="s">
        <v>118</v>
      </c>
      <c r="D214" s="10" t="s">
        <v>21</v>
      </c>
      <c r="E214" s="11">
        <v>47499.941763529998</v>
      </c>
      <c r="F214" s="12">
        <v>33.768099999999997</v>
      </c>
      <c r="G214" s="13">
        <v>2886.9299648783599</v>
      </c>
      <c r="H214" s="8">
        <v>43483</v>
      </c>
      <c r="I214" s="14">
        <v>1406.6513</v>
      </c>
      <c r="J214" s="8">
        <v>43549</v>
      </c>
    </row>
    <row r="215" spans="1:10" x14ac:dyDescent="0.25">
      <c r="A215" s="7">
        <v>212</v>
      </c>
      <c r="B215" s="8">
        <v>43549</v>
      </c>
      <c r="C215" s="9" t="s">
        <v>131</v>
      </c>
      <c r="D215" s="10" t="s">
        <v>24</v>
      </c>
      <c r="E215" s="15">
        <v>-16553.527879050002</v>
      </c>
      <c r="F215" s="16">
        <v>-11.6187</v>
      </c>
      <c r="G215" s="13">
        <v>2875.3112648783599</v>
      </c>
      <c r="H215" s="8">
        <v>43549</v>
      </c>
      <c r="I215" s="14">
        <v>1424.7315000000001</v>
      </c>
      <c r="J215" s="8">
        <v>43549</v>
      </c>
    </row>
    <row r="216" spans="1:10" x14ac:dyDescent="0.25">
      <c r="A216" s="7">
        <v>213</v>
      </c>
      <c r="B216" s="8">
        <v>43549</v>
      </c>
      <c r="C216" s="9" t="s">
        <v>132</v>
      </c>
      <c r="D216" s="10" t="s">
        <v>24</v>
      </c>
      <c r="E216" s="15">
        <v>-12006.4972968</v>
      </c>
      <c r="F216" s="16">
        <v>-8.4271999999999991</v>
      </c>
      <c r="G216" s="13">
        <v>2866.8840648783598</v>
      </c>
      <c r="H216" s="8">
        <v>43549</v>
      </c>
      <c r="I216" s="14">
        <v>1424.7315000000001</v>
      </c>
      <c r="J216" s="8">
        <v>43549</v>
      </c>
    </row>
    <row r="217" spans="1:10" x14ac:dyDescent="0.25">
      <c r="A217" s="7">
        <v>214</v>
      </c>
      <c r="B217" s="8">
        <v>43580</v>
      </c>
      <c r="C217" s="9" t="s">
        <v>117</v>
      </c>
      <c r="D217" s="10" t="s">
        <v>21</v>
      </c>
      <c r="E217" s="11">
        <v>99999.97503596</v>
      </c>
      <c r="F217" s="12">
        <v>70.637200000000007</v>
      </c>
      <c r="G217" s="13">
        <v>2937.5212648783599</v>
      </c>
      <c r="H217" s="8">
        <v>43516</v>
      </c>
      <c r="I217" s="14">
        <v>1415.6842999999999</v>
      </c>
      <c r="J217" s="8">
        <v>43580</v>
      </c>
    </row>
    <row r="218" spans="1:10" x14ac:dyDescent="0.25">
      <c r="A218" s="7">
        <v>215</v>
      </c>
      <c r="B218" s="8">
        <v>43580</v>
      </c>
      <c r="C218" s="9" t="s">
        <v>118</v>
      </c>
      <c r="D218" s="10" t="s">
        <v>21</v>
      </c>
      <c r="E218" s="11">
        <v>47500.030612609997</v>
      </c>
      <c r="F218" s="12">
        <v>33.552700000000002</v>
      </c>
      <c r="G218" s="13">
        <v>2971.0739648783601</v>
      </c>
      <c r="H218" s="8">
        <v>43516</v>
      </c>
      <c r="I218" s="14">
        <v>1415.6842999999999</v>
      </c>
      <c r="J218" s="8">
        <v>43580</v>
      </c>
    </row>
    <row r="219" spans="1:10" x14ac:dyDescent="0.25">
      <c r="A219" s="7">
        <v>216</v>
      </c>
      <c r="B219" s="8">
        <v>43580</v>
      </c>
      <c r="C219" s="9" t="s">
        <v>133</v>
      </c>
      <c r="D219" s="10" t="s">
        <v>24</v>
      </c>
      <c r="E219" s="15">
        <v>-16764.207296479999</v>
      </c>
      <c r="F219" s="16">
        <v>-11.6068</v>
      </c>
      <c r="G219" s="13">
        <v>2959.4671648783601</v>
      </c>
      <c r="H219" s="8">
        <v>43580</v>
      </c>
      <c r="I219" s="14">
        <v>1444.3435999999999</v>
      </c>
      <c r="J219" s="8">
        <v>43580</v>
      </c>
    </row>
    <row r="220" spans="1:10" x14ac:dyDescent="0.25">
      <c r="A220" s="7">
        <v>217</v>
      </c>
      <c r="B220" s="8">
        <v>43580</v>
      </c>
      <c r="C220" s="9" t="s">
        <v>134</v>
      </c>
      <c r="D220" s="10" t="s">
        <v>24</v>
      </c>
      <c r="E220" s="15">
        <v>-12159.351030960001</v>
      </c>
      <c r="F220" s="16">
        <v>-8.4185999999999996</v>
      </c>
      <c r="G220" s="13">
        <v>2951.0485648783601</v>
      </c>
      <c r="H220" s="8">
        <v>43580</v>
      </c>
      <c r="I220" s="14">
        <v>1444.3435999999999</v>
      </c>
      <c r="J220" s="8">
        <v>43580</v>
      </c>
    </row>
    <row r="221" spans="1:10" x14ac:dyDescent="0.25">
      <c r="A221" s="7">
        <v>218</v>
      </c>
      <c r="B221" s="8">
        <v>43610</v>
      </c>
      <c r="C221" s="9" t="s">
        <v>117</v>
      </c>
      <c r="D221" s="10" t="s">
        <v>21</v>
      </c>
      <c r="E221" s="11">
        <v>99999.951331250006</v>
      </c>
      <c r="F221" s="12">
        <v>70.112499999999997</v>
      </c>
      <c r="G221" s="13">
        <v>3021.1610648783599</v>
      </c>
      <c r="H221" s="8">
        <v>43544</v>
      </c>
      <c r="I221" s="14">
        <v>1426.2784999999999</v>
      </c>
      <c r="J221" s="8">
        <v>43610</v>
      </c>
    </row>
    <row r="222" spans="1:10" x14ac:dyDescent="0.25">
      <c r="A222" s="7">
        <v>219</v>
      </c>
      <c r="B222" s="8">
        <v>43610</v>
      </c>
      <c r="C222" s="9" t="s">
        <v>118</v>
      </c>
      <c r="D222" s="10" t="s">
        <v>21</v>
      </c>
      <c r="E222" s="11">
        <v>47500.066024749998</v>
      </c>
      <c r="F222" s="12">
        <v>33.3035</v>
      </c>
      <c r="G222" s="13">
        <v>3054.4645648783599</v>
      </c>
      <c r="H222" s="8">
        <v>43544</v>
      </c>
      <c r="I222" s="14">
        <v>1426.2784999999999</v>
      </c>
      <c r="J222" s="8">
        <v>43610</v>
      </c>
    </row>
    <row r="223" spans="1:10" x14ac:dyDescent="0.25">
      <c r="A223" s="7">
        <v>220</v>
      </c>
      <c r="B223" s="8">
        <v>43610</v>
      </c>
      <c r="C223" s="9" t="s">
        <v>135</v>
      </c>
      <c r="D223" s="10" t="s">
        <v>24</v>
      </c>
      <c r="E223" s="15">
        <v>-17247.849232519999</v>
      </c>
      <c r="F223" s="16">
        <v>-11.918799999999999</v>
      </c>
      <c r="G223" s="13">
        <v>3042.5457648783599</v>
      </c>
      <c r="H223" s="8">
        <v>43612</v>
      </c>
      <c r="I223" s="14">
        <v>1447.1129000000001</v>
      </c>
      <c r="J223" s="8">
        <v>43610</v>
      </c>
    </row>
    <row r="224" spans="1:10" x14ac:dyDescent="0.25">
      <c r="A224" s="7">
        <v>221</v>
      </c>
      <c r="B224" s="8">
        <v>43610</v>
      </c>
      <c r="C224" s="9" t="s">
        <v>136</v>
      </c>
      <c r="D224" s="10" t="s">
        <v>24</v>
      </c>
      <c r="E224" s="15">
        <v>-12510.14630921</v>
      </c>
      <c r="F224" s="16">
        <v>-8.6448999999999998</v>
      </c>
      <c r="G224" s="13">
        <v>3033.9008648783602</v>
      </c>
      <c r="H224" s="8">
        <v>43612</v>
      </c>
      <c r="I224" s="14">
        <v>1447.1129000000001</v>
      </c>
      <c r="J224" s="8">
        <v>43610</v>
      </c>
    </row>
    <row r="225" spans="1:10" x14ac:dyDescent="0.25">
      <c r="A225" s="7">
        <v>222</v>
      </c>
      <c r="B225" s="8">
        <v>43641</v>
      </c>
      <c r="C225" s="9" t="s">
        <v>117</v>
      </c>
      <c r="D225" s="10" t="s">
        <v>21</v>
      </c>
      <c r="E225" s="11">
        <v>100000.02473464</v>
      </c>
      <c r="F225" s="12">
        <v>68.768600000000006</v>
      </c>
      <c r="G225" s="13">
        <v>3102.66946487836</v>
      </c>
      <c r="H225" s="8">
        <v>43616</v>
      </c>
      <c r="I225" s="14">
        <v>1454.1523999999999</v>
      </c>
      <c r="J225" s="8">
        <v>43641</v>
      </c>
    </row>
    <row r="226" spans="1:10" x14ac:dyDescent="0.25">
      <c r="A226" s="7">
        <v>223</v>
      </c>
      <c r="B226" s="8">
        <v>43641</v>
      </c>
      <c r="C226" s="9" t="s">
        <v>118</v>
      </c>
      <c r="D226" s="10" t="s">
        <v>21</v>
      </c>
      <c r="E226" s="11">
        <v>47500.033561240001</v>
      </c>
      <c r="F226" s="12">
        <v>32.665100000000002</v>
      </c>
      <c r="G226" s="13">
        <v>3135.3345648783602</v>
      </c>
      <c r="H226" s="8">
        <v>43616</v>
      </c>
      <c r="I226" s="14">
        <v>1454.1523999999999</v>
      </c>
      <c r="J226" s="8">
        <v>43641</v>
      </c>
    </row>
    <row r="227" spans="1:10" x14ac:dyDescent="0.25">
      <c r="A227" s="7">
        <v>224</v>
      </c>
      <c r="B227" s="8">
        <v>43641</v>
      </c>
      <c r="C227" s="9" t="s">
        <v>137</v>
      </c>
      <c r="D227" s="10" t="s">
        <v>24</v>
      </c>
      <c r="E227" s="15">
        <v>-16906.56822972</v>
      </c>
      <c r="F227" s="16">
        <v>-11.406599999999999</v>
      </c>
      <c r="G227" s="13">
        <v>3123.9279648783599</v>
      </c>
      <c r="H227" s="8">
        <v>43641</v>
      </c>
      <c r="I227" s="14">
        <v>1482.1741999999999</v>
      </c>
      <c r="J227" s="8">
        <v>43641</v>
      </c>
    </row>
    <row r="228" spans="1:10" x14ac:dyDescent="0.25">
      <c r="A228" s="7">
        <v>225</v>
      </c>
      <c r="B228" s="8">
        <v>43641</v>
      </c>
      <c r="C228" s="9" t="s">
        <v>138</v>
      </c>
      <c r="D228" s="10" t="s">
        <v>24</v>
      </c>
      <c r="E228" s="15">
        <v>-12262.47180886</v>
      </c>
      <c r="F228" s="16">
        <v>-8.2733000000000008</v>
      </c>
      <c r="G228" s="13">
        <v>3115.6546648783601</v>
      </c>
      <c r="H228" s="8">
        <v>43641</v>
      </c>
      <c r="I228" s="14">
        <v>1482.1741999999999</v>
      </c>
      <c r="J228" s="8">
        <v>43641</v>
      </c>
    </row>
    <row r="229" spans="1:10" x14ac:dyDescent="0.25">
      <c r="A229" s="7">
        <v>226</v>
      </c>
      <c r="B229" s="8">
        <v>43671</v>
      </c>
      <c r="C229" s="9" t="s">
        <v>117</v>
      </c>
      <c r="D229" s="10" t="s">
        <v>21</v>
      </c>
      <c r="E229" s="11">
        <v>100000.02473464</v>
      </c>
      <c r="F229" s="12">
        <v>68.768600000000006</v>
      </c>
      <c r="G229" s="13">
        <v>3184.42326487836</v>
      </c>
      <c r="H229" s="8">
        <v>43616</v>
      </c>
      <c r="I229" s="14">
        <v>1454.1523999999999</v>
      </c>
      <c r="J229" s="8">
        <v>43671</v>
      </c>
    </row>
    <row r="230" spans="1:10" x14ac:dyDescent="0.25">
      <c r="A230" s="7">
        <v>227</v>
      </c>
      <c r="B230" s="8">
        <v>43671</v>
      </c>
      <c r="C230" s="9" t="s">
        <v>118</v>
      </c>
      <c r="D230" s="10" t="s">
        <v>21</v>
      </c>
      <c r="E230" s="11">
        <v>47500.033561240001</v>
      </c>
      <c r="F230" s="12">
        <v>32.665100000000002</v>
      </c>
      <c r="G230" s="13">
        <v>3217.0883648783602</v>
      </c>
      <c r="H230" s="8">
        <v>43616</v>
      </c>
      <c r="I230" s="14">
        <v>1454.1523999999999</v>
      </c>
      <c r="J230" s="8">
        <v>43671</v>
      </c>
    </row>
    <row r="231" spans="1:10" x14ac:dyDescent="0.25">
      <c r="A231" s="7">
        <v>228</v>
      </c>
      <c r="B231" s="8">
        <v>43671</v>
      </c>
      <c r="C231" s="9" t="s">
        <v>139</v>
      </c>
      <c r="D231" s="10" t="s">
        <v>24</v>
      </c>
      <c r="E231" s="15">
        <v>-17079.05631887</v>
      </c>
      <c r="F231" s="16">
        <v>-11.456899999999999</v>
      </c>
      <c r="G231" s="13">
        <v>3205.63146487836</v>
      </c>
      <c r="H231" s="8">
        <v>43671</v>
      </c>
      <c r="I231" s="14">
        <v>1490.7222999999999</v>
      </c>
      <c r="J231" s="8">
        <v>43671</v>
      </c>
    </row>
    <row r="232" spans="1:10" x14ac:dyDescent="0.25">
      <c r="A232" s="7">
        <v>229</v>
      </c>
      <c r="B232" s="8">
        <v>43671</v>
      </c>
      <c r="C232" s="9" t="s">
        <v>140</v>
      </c>
      <c r="D232" s="10" t="s">
        <v>24</v>
      </c>
      <c r="E232" s="15">
        <v>-12387.60416854</v>
      </c>
      <c r="F232" s="16">
        <v>-8.3097999999999992</v>
      </c>
      <c r="G232" s="13">
        <v>3197.32166487836</v>
      </c>
      <c r="H232" s="8">
        <v>43671</v>
      </c>
      <c r="I232" s="14">
        <v>1490.7222999999999</v>
      </c>
      <c r="J232" s="8">
        <v>43671</v>
      </c>
    </row>
    <row r="233" spans="1:10" x14ac:dyDescent="0.25">
      <c r="A233" s="7">
        <v>230</v>
      </c>
      <c r="B233" s="8">
        <v>43702</v>
      </c>
      <c r="C233" s="9" t="s">
        <v>117</v>
      </c>
      <c r="D233" s="10" t="s">
        <v>21</v>
      </c>
      <c r="E233" s="11">
        <v>99999.935913680005</v>
      </c>
      <c r="F233" s="12">
        <v>68.035600000000002</v>
      </c>
      <c r="G233" s="13">
        <v>3265.3572648783602</v>
      </c>
      <c r="H233" s="8">
        <v>43634</v>
      </c>
      <c r="I233" s="14">
        <v>1469.8178</v>
      </c>
      <c r="J233" s="8">
        <v>43702</v>
      </c>
    </row>
    <row r="234" spans="1:10" x14ac:dyDescent="0.25">
      <c r="A234" s="7">
        <v>231</v>
      </c>
      <c r="B234" s="8">
        <v>43702</v>
      </c>
      <c r="C234" s="9" t="s">
        <v>118</v>
      </c>
      <c r="D234" s="10" t="s">
        <v>21</v>
      </c>
      <c r="E234" s="11">
        <v>47499.954860819998</v>
      </c>
      <c r="F234" s="12">
        <v>32.316899999999997</v>
      </c>
      <c r="G234" s="13">
        <v>3297.67416487836</v>
      </c>
      <c r="H234" s="8">
        <v>43634</v>
      </c>
      <c r="I234" s="14">
        <v>1469.8178</v>
      </c>
      <c r="J234" s="8">
        <v>43702</v>
      </c>
    </row>
    <row r="235" spans="1:10" x14ac:dyDescent="0.25">
      <c r="A235" s="7">
        <v>232</v>
      </c>
      <c r="B235" s="8">
        <v>43702</v>
      </c>
      <c r="C235" s="9" t="s">
        <v>141</v>
      </c>
      <c r="D235" s="10" t="s">
        <v>24</v>
      </c>
      <c r="E235" s="15">
        <v>-16995.402459000001</v>
      </c>
      <c r="F235" s="16">
        <v>-11.609500000000001</v>
      </c>
      <c r="G235" s="13">
        <v>3286.06466487836</v>
      </c>
      <c r="H235" s="8">
        <v>43703</v>
      </c>
      <c r="I235" s="14">
        <v>1463.922</v>
      </c>
      <c r="J235" s="8">
        <v>43702</v>
      </c>
    </row>
    <row r="236" spans="1:10" x14ac:dyDescent="0.25">
      <c r="A236" s="7">
        <v>233</v>
      </c>
      <c r="B236" s="8">
        <v>43702</v>
      </c>
      <c r="C236" s="9" t="s">
        <v>142</v>
      </c>
      <c r="D236" s="10" t="s">
        <v>24</v>
      </c>
      <c r="E236" s="15">
        <v>-12326.955201000001</v>
      </c>
      <c r="F236" s="16">
        <v>-8.4205000000000005</v>
      </c>
      <c r="G236" s="13">
        <v>3277.6441648783598</v>
      </c>
      <c r="H236" s="8">
        <v>43703</v>
      </c>
      <c r="I236" s="14">
        <v>1463.922</v>
      </c>
      <c r="J236" s="8">
        <v>43702</v>
      </c>
    </row>
    <row r="237" spans="1:10" x14ac:dyDescent="0.25">
      <c r="A237" s="7">
        <v>234</v>
      </c>
      <c r="B237" s="8">
        <v>43712</v>
      </c>
      <c r="C237" s="9" t="s">
        <v>174</v>
      </c>
      <c r="D237" s="10" t="s">
        <v>24</v>
      </c>
      <c r="E237" s="15">
        <v>-5072148.1211878397</v>
      </c>
      <c r="F237" s="16">
        <v>-3475.5776000000001</v>
      </c>
      <c r="G237" s="13">
        <v>-197.93343512164</v>
      </c>
      <c r="H237" s="8">
        <v>43712</v>
      </c>
      <c r="I237" s="14">
        <v>1459.3684000000001</v>
      </c>
      <c r="J237" s="8">
        <v>43712</v>
      </c>
    </row>
    <row r="238" spans="1:10" x14ac:dyDescent="0.25">
      <c r="A238" s="7">
        <v>235</v>
      </c>
      <c r="B238" s="8">
        <v>43733</v>
      </c>
      <c r="C238" s="9" t="s">
        <v>143</v>
      </c>
      <c r="D238" s="10" t="s">
        <v>21</v>
      </c>
      <c r="E238" s="11">
        <v>100000.02905664001</v>
      </c>
      <c r="F238" s="12">
        <v>66.125200000000007</v>
      </c>
      <c r="G238" s="13">
        <v>-131.80823512164</v>
      </c>
      <c r="H238" s="8">
        <v>43663</v>
      </c>
      <c r="I238" s="14">
        <v>1512.2832000000001</v>
      </c>
      <c r="J238" s="8">
        <v>43733</v>
      </c>
    </row>
    <row r="239" spans="1:10" x14ac:dyDescent="0.25">
      <c r="A239" s="7">
        <v>236</v>
      </c>
      <c r="B239" s="8">
        <v>43733</v>
      </c>
      <c r="C239" s="9" t="s">
        <v>144</v>
      </c>
      <c r="D239" s="10" t="s">
        <v>21</v>
      </c>
      <c r="E239" s="11">
        <v>47500.059170400003</v>
      </c>
      <c r="F239" s="12">
        <v>31.409500000000001</v>
      </c>
      <c r="G239" s="13">
        <v>-100.39873512164</v>
      </c>
      <c r="H239" s="8">
        <v>43663</v>
      </c>
      <c r="I239" s="14">
        <v>1512.2832000000001</v>
      </c>
      <c r="J239" s="8">
        <v>43733</v>
      </c>
    </row>
    <row r="240" spans="1:10" x14ac:dyDescent="0.25">
      <c r="A240" s="7">
        <v>237</v>
      </c>
      <c r="B240" s="8">
        <v>43763</v>
      </c>
      <c r="C240" s="9" t="s">
        <v>143</v>
      </c>
      <c r="D240" s="10" t="s">
        <v>21</v>
      </c>
      <c r="E240" s="11">
        <v>99999.948406490003</v>
      </c>
      <c r="F240" s="12">
        <v>68.066900000000004</v>
      </c>
      <c r="G240" s="13">
        <v>-32.331835121640303</v>
      </c>
      <c r="H240" s="8">
        <v>43697</v>
      </c>
      <c r="I240" s="14">
        <v>1469.1421</v>
      </c>
      <c r="J240" s="8">
        <v>43763</v>
      </c>
    </row>
    <row r="241" spans="1:10" x14ac:dyDescent="0.25">
      <c r="A241" s="7">
        <v>238</v>
      </c>
      <c r="B241" s="8">
        <v>43763</v>
      </c>
      <c r="C241" s="9" t="s">
        <v>144</v>
      </c>
      <c r="D241" s="10" t="s">
        <v>21</v>
      </c>
      <c r="E241" s="11">
        <v>47500.008548780002</v>
      </c>
      <c r="F241" s="12">
        <v>32.331800000000001</v>
      </c>
      <c r="G241" s="13">
        <v>-3.5121640266311301E-5</v>
      </c>
      <c r="H241" s="8">
        <v>43697</v>
      </c>
      <c r="I241" s="14">
        <v>1469.1421</v>
      </c>
      <c r="J241" s="8">
        <v>43763</v>
      </c>
    </row>
  </sheetData>
  <mergeCells count="4">
    <mergeCell ref="A1:G1"/>
    <mergeCell ref="I1:K1"/>
    <mergeCell ref="A2:B2"/>
    <mergeCell ref="C2:H2"/>
  </mergeCells>
  <pageMargins left="1" right="1" top="1" bottom="1" header="1" footer="1"/>
  <pageSetup orientation="landscape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K103"/>
  <sheetViews>
    <sheetView showGridLines="0" workbookViewId="0">
      <pane ySplit="3" topLeftCell="A75" activePane="bottomLeft" state="frozen"/>
      <selection pane="bottomLeft" activeCell="E97" sqref="E97"/>
    </sheetView>
  </sheetViews>
  <sheetFormatPr defaultRowHeight="15" x14ac:dyDescent="0.25"/>
  <cols>
    <col min="1" max="1" width="5.42578125" customWidth="1"/>
    <col min="2" max="2" width="10.28515625" customWidth="1"/>
    <col min="3" max="3" width="31" customWidth="1"/>
    <col min="4" max="4" width="5" customWidth="1"/>
    <col min="5" max="5" width="14" customWidth="1"/>
    <col min="6" max="6" width="7.85546875" customWidth="1"/>
    <col min="7" max="7" width="10.28515625" customWidth="1"/>
    <col min="8" max="8" width="12.140625" customWidth="1"/>
    <col min="9" max="9" width="10.140625" customWidth="1"/>
    <col min="10" max="10" width="12" customWidth="1"/>
    <col min="11" max="11" width="0" hidden="1" customWidth="1"/>
  </cols>
  <sheetData>
    <row r="1" spans="1:11" ht="30.95" customHeight="1" x14ac:dyDescent="0.25">
      <c r="A1" s="20" t="s">
        <v>6</v>
      </c>
      <c r="B1" s="18"/>
      <c r="C1" s="18"/>
      <c r="D1" s="18"/>
      <c r="E1" s="18"/>
      <c r="F1" s="18"/>
      <c r="G1" s="18"/>
      <c r="H1" s="1" t="s">
        <v>7</v>
      </c>
      <c r="I1" s="18"/>
      <c r="J1" s="18"/>
      <c r="K1" s="18"/>
    </row>
    <row r="2" spans="1:11" ht="84" customHeight="1" x14ac:dyDescent="0.25">
      <c r="A2" s="21" t="s">
        <v>8</v>
      </c>
      <c r="B2" s="18"/>
      <c r="C2" s="22" t="s">
        <v>175</v>
      </c>
      <c r="D2" s="18"/>
      <c r="E2" s="18"/>
      <c r="F2" s="18"/>
      <c r="G2" s="18"/>
      <c r="H2" s="18"/>
      <c r="I2" s="3" t="s">
        <v>7</v>
      </c>
      <c r="J2" s="2" t="s">
        <v>7</v>
      </c>
    </row>
    <row r="3" spans="1:11" ht="19.5" x14ac:dyDescent="0.25">
      <c r="A3" s="4" t="s">
        <v>10</v>
      </c>
      <c r="B3" s="5" t="s">
        <v>11</v>
      </c>
      <c r="C3" s="6" t="s">
        <v>12</v>
      </c>
      <c r="D3" s="5" t="s">
        <v>13</v>
      </c>
      <c r="E3" s="4" t="s">
        <v>14</v>
      </c>
      <c r="F3" s="4" t="s">
        <v>15</v>
      </c>
      <c r="G3" s="4" t="s">
        <v>16</v>
      </c>
      <c r="H3" s="5" t="s">
        <v>17</v>
      </c>
      <c r="I3" s="4" t="s">
        <v>18</v>
      </c>
      <c r="J3" s="5" t="s">
        <v>19</v>
      </c>
    </row>
    <row r="4" spans="1:11" hidden="1" x14ac:dyDescent="0.25">
      <c r="A4" s="7">
        <v>1</v>
      </c>
      <c r="B4" s="8">
        <v>44081</v>
      </c>
      <c r="C4" s="9" t="s">
        <v>64</v>
      </c>
      <c r="D4" s="10" t="s">
        <v>21</v>
      </c>
      <c r="E4" s="11">
        <v>6942063.5</v>
      </c>
      <c r="F4" s="12">
        <v>6942.0635000000002</v>
      </c>
      <c r="G4" s="13">
        <v>6942.0635000000002</v>
      </c>
      <c r="H4" s="8">
        <v>44078</v>
      </c>
      <c r="I4" s="14">
        <v>1000</v>
      </c>
      <c r="J4" s="8">
        <v>44081</v>
      </c>
    </row>
    <row r="5" spans="1:11" x14ac:dyDescent="0.25">
      <c r="A5" s="7">
        <v>2</v>
      </c>
      <c r="B5" s="8">
        <v>44099</v>
      </c>
      <c r="C5" s="9" t="s">
        <v>176</v>
      </c>
      <c r="D5" s="10" t="s">
        <v>24</v>
      </c>
      <c r="E5" s="15">
        <v>-11747.5709195</v>
      </c>
      <c r="F5" s="16">
        <v>-11.712999999999999</v>
      </c>
      <c r="G5" s="13">
        <v>6930.3504999999996</v>
      </c>
      <c r="H5" s="8">
        <v>44104</v>
      </c>
      <c r="I5" s="14">
        <v>1002.9515</v>
      </c>
      <c r="J5" s="8">
        <v>44099</v>
      </c>
    </row>
    <row r="6" spans="1:11" hidden="1" x14ac:dyDescent="0.25">
      <c r="A6" s="7">
        <v>3</v>
      </c>
      <c r="B6" s="8">
        <v>44099</v>
      </c>
      <c r="C6" s="9" t="s">
        <v>177</v>
      </c>
      <c r="D6" s="10" t="s">
        <v>24</v>
      </c>
      <c r="E6" s="15">
        <v>-13998.595266099999</v>
      </c>
      <c r="F6" s="16">
        <v>-13.9574</v>
      </c>
      <c r="G6" s="13">
        <v>6916.3931000000002</v>
      </c>
      <c r="H6" s="8">
        <v>44104</v>
      </c>
      <c r="I6" s="14">
        <v>1002.9515</v>
      </c>
      <c r="J6" s="8">
        <v>44099</v>
      </c>
    </row>
    <row r="7" spans="1:11" x14ac:dyDescent="0.25">
      <c r="A7" s="7">
        <v>4</v>
      </c>
      <c r="B7" s="8">
        <v>44129</v>
      </c>
      <c r="C7" s="9" t="s">
        <v>178</v>
      </c>
      <c r="D7" s="10" t="s">
        <v>24</v>
      </c>
      <c r="E7" s="15">
        <v>-11509.848588499999</v>
      </c>
      <c r="F7" s="16">
        <v>-11.458600000000001</v>
      </c>
      <c r="G7" s="13">
        <v>6904.9345000000003</v>
      </c>
      <c r="H7" s="8">
        <v>44130</v>
      </c>
      <c r="I7" s="14">
        <v>1004.4725</v>
      </c>
      <c r="J7" s="8">
        <v>44129</v>
      </c>
    </row>
    <row r="8" spans="1:11" hidden="1" x14ac:dyDescent="0.25">
      <c r="A8" s="7">
        <v>5</v>
      </c>
      <c r="B8" s="8">
        <v>44129</v>
      </c>
      <c r="C8" s="9" t="s">
        <v>179</v>
      </c>
      <c r="D8" s="10" t="s">
        <v>24</v>
      </c>
      <c r="E8" s="15">
        <v>-13715.2684095</v>
      </c>
      <c r="F8" s="16">
        <v>-13.654199999999999</v>
      </c>
      <c r="G8" s="13">
        <v>6891.2803000000004</v>
      </c>
      <c r="H8" s="8">
        <v>44130</v>
      </c>
      <c r="I8" s="14">
        <v>1004.4725</v>
      </c>
      <c r="J8" s="8">
        <v>44129</v>
      </c>
    </row>
    <row r="9" spans="1:11" hidden="1" x14ac:dyDescent="0.25">
      <c r="A9" s="7">
        <v>6</v>
      </c>
      <c r="B9" s="8">
        <v>44160</v>
      </c>
      <c r="C9" s="9" t="s">
        <v>170</v>
      </c>
      <c r="D9" s="10" t="s">
        <v>21</v>
      </c>
      <c r="E9" s="11">
        <v>99999.983809440004</v>
      </c>
      <c r="F9" s="12">
        <v>100.36620000000001</v>
      </c>
      <c r="G9" s="13">
        <v>6991.6464999999998</v>
      </c>
      <c r="H9" s="8">
        <v>44102</v>
      </c>
      <c r="I9" s="14">
        <v>996.35119999999995</v>
      </c>
      <c r="J9" s="8">
        <v>44160</v>
      </c>
    </row>
    <row r="10" spans="1:11" hidden="1" x14ac:dyDescent="0.25">
      <c r="A10" s="7">
        <v>7</v>
      </c>
      <c r="B10" s="8">
        <v>44160</v>
      </c>
      <c r="C10" s="9" t="s">
        <v>171</v>
      </c>
      <c r="D10" s="10" t="s">
        <v>21</v>
      </c>
      <c r="E10" s="11">
        <v>47500.047108799998</v>
      </c>
      <c r="F10" s="12">
        <v>47.673999999999999</v>
      </c>
      <c r="G10" s="13">
        <v>7039.3204999999998</v>
      </c>
      <c r="H10" s="8">
        <v>44102</v>
      </c>
      <c r="I10" s="14">
        <v>996.35119999999995</v>
      </c>
      <c r="J10" s="8">
        <v>44160</v>
      </c>
    </row>
    <row r="11" spans="1:11" x14ac:dyDescent="0.25">
      <c r="A11" s="7">
        <v>8</v>
      </c>
      <c r="B11" s="8">
        <v>44160</v>
      </c>
      <c r="C11" s="9" t="s">
        <v>180</v>
      </c>
      <c r="D11" s="10" t="s">
        <v>24</v>
      </c>
      <c r="E11" s="15">
        <v>-11202.32099896</v>
      </c>
      <c r="F11" s="16">
        <v>-11.0684</v>
      </c>
      <c r="G11" s="13">
        <v>7028.2520999999997</v>
      </c>
      <c r="H11" s="8">
        <v>44160</v>
      </c>
      <c r="I11" s="14">
        <v>1012.0993999999999</v>
      </c>
      <c r="J11" s="8">
        <v>44160</v>
      </c>
    </row>
    <row r="12" spans="1:11" hidden="1" x14ac:dyDescent="0.25">
      <c r="A12" s="7">
        <v>9</v>
      </c>
      <c r="B12" s="8">
        <v>44160</v>
      </c>
      <c r="C12" s="9" t="s">
        <v>181</v>
      </c>
      <c r="D12" s="10" t="s">
        <v>24</v>
      </c>
      <c r="E12" s="15">
        <v>-13348.88261642</v>
      </c>
      <c r="F12" s="16">
        <v>-13.189299999999999</v>
      </c>
      <c r="G12" s="13">
        <v>7015.0627999999997</v>
      </c>
      <c r="H12" s="8">
        <v>44160</v>
      </c>
      <c r="I12" s="14">
        <v>1012.0993999999999</v>
      </c>
      <c r="J12" s="8">
        <v>44160</v>
      </c>
    </row>
    <row r="13" spans="1:11" hidden="1" x14ac:dyDescent="0.25">
      <c r="A13" s="7">
        <v>10</v>
      </c>
      <c r="B13" s="8">
        <v>44190</v>
      </c>
      <c r="C13" s="9" t="s">
        <v>170</v>
      </c>
      <c r="D13" s="10" t="s">
        <v>21</v>
      </c>
      <c r="E13" s="11">
        <v>100000.0447006</v>
      </c>
      <c r="F13" s="12">
        <v>99.734800000000007</v>
      </c>
      <c r="G13" s="13">
        <v>7114.7975999999999</v>
      </c>
      <c r="H13" s="8">
        <v>44123</v>
      </c>
      <c r="I13" s="14">
        <v>1002.6595</v>
      </c>
      <c r="J13" s="8">
        <v>44190</v>
      </c>
    </row>
    <row r="14" spans="1:11" hidden="1" x14ac:dyDescent="0.25">
      <c r="A14" s="7">
        <v>11</v>
      </c>
      <c r="B14" s="8">
        <v>44190</v>
      </c>
      <c r="C14" s="9" t="s">
        <v>171</v>
      </c>
      <c r="D14" s="10" t="s">
        <v>21</v>
      </c>
      <c r="E14" s="11">
        <v>47499.991153000003</v>
      </c>
      <c r="F14" s="12">
        <v>47.374000000000002</v>
      </c>
      <c r="G14" s="13">
        <v>7162.1715999999997</v>
      </c>
      <c r="H14" s="8">
        <v>44123</v>
      </c>
      <c r="I14" s="14">
        <v>1002.6595</v>
      </c>
      <c r="J14" s="8">
        <v>44190</v>
      </c>
    </row>
    <row r="15" spans="1:11" x14ac:dyDescent="0.25">
      <c r="A15" s="7">
        <v>12</v>
      </c>
      <c r="B15" s="8">
        <v>44190</v>
      </c>
      <c r="C15" s="9" t="s">
        <v>182</v>
      </c>
      <c r="D15" s="10" t="s">
        <v>24</v>
      </c>
      <c r="E15" s="15">
        <v>-10867.57565832</v>
      </c>
      <c r="F15" s="16">
        <v>-10.626799999999999</v>
      </c>
      <c r="G15" s="13">
        <v>7151.5447999999997</v>
      </c>
      <c r="H15" s="8">
        <v>44193</v>
      </c>
      <c r="I15" s="14">
        <v>1022.6574000000001</v>
      </c>
      <c r="J15" s="8">
        <v>44190</v>
      </c>
    </row>
    <row r="16" spans="1:11" hidden="1" x14ac:dyDescent="0.25">
      <c r="A16" s="7">
        <v>13</v>
      </c>
      <c r="B16" s="8">
        <v>44190</v>
      </c>
      <c r="C16" s="9" t="s">
        <v>183</v>
      </c>
      <c r="D16" s="10" t="s">
        <v>24</v>
      </c>
      <c r="E16" s="15">
        <v>-12949.9106562</v>
      </c>
      <c r="F16" s="16">
        <v>-12.663</v>
      </c>
      <c r="G16" s="13">
        <v>7138.8818000000001</v>
      </c>
      <c r="H16" s="8">
        <v>44193</v>
      </c>
      <c r="I16" s="14">
        <v>1022.6574000000001</v>
      </c>
      <c r="J16" s="8">
        <v>44190</v>
      </c>
    </row>
    <row r="17" spans="1:10" x14ac:dyDescent="0.25">
      <c r="A17" s="7">
        <v>14</v>
      </c>
      <c r="B17" s="8">
        <v>44221</v>
      </c>
      <c r="C17" s="9" t="s">
        <v>184</v>
      </c>
      <c r="D17" s="10" t="s">
        <v>24</v>
      </c>
      <c r="E17" s="15">
        <v>-10515.490351590001</v>
      </c>
      <c r="F17" s="16">
        <v>-10.254300000000001</v>
      </c>
      <c r="G17" s="13">
        <v>7128.6274999999996</v>
      </c>
      <c r="H17" s="8">
        <v>44221</v>
      </c>
      <c r="I17" s="14">
        <v>1025.4712999999999</v>
      </c>
      <c r="J17" s="8">
        <v>44221</v>
      </c>
    </row>
    <row r="18" spans="1:10" hidden="1" x14ac:dyDescent="0.25">
      <c r="A18" s="7">
        <v>15</v>
      </c>
      <c r="B18" s="8">
        <v>44221</v>
      </c>
      <c r="C18" s="9" t="s">
        <v>185</v>
      </c>
      <c r="D18" s="10" t="s">
        <v>24</v>
      </c>
      <c r="E18" s="15">
        <v>-12530.438908960001</v>
      </c>
      <c r="F18" s="16">
        <v>-12.219200000000001</v>
      </c>
      <c r="G18" s="13">
        <v>7116.4083000000001</v>
      </c>
      <c r="H18" s="8">
        <v>44221</v>
      </c>
      <c r="I18" s="14">
        <v>1025.4712999999999</v>
      </c>
      <c r="J18" s="8">
        <v>44221</v>
      </c>
    </row>
    <row r="19" spans="1:10" x14ac:dyDescent="0.25">
      <c r="A19" s="7">
        <v>16</v>
      </c>
      <c r="B19" s="8">
        <v>44252</v>
      </c>
      <c r="C19" s="9" t="s">
        <v>186</v>
      </c>
      <c r="D19" s="10" t="s">
        <v>24</v>
      </c>
      <c r="E19" s="15">
        <v>-10777.341891030001</v>
      </c>
      <c r="F19" s="16">
        <v>-10.5303</v>
      </c>
      <c r="G19" s="13">
        <v>7105.8779999999997</v>
      </c>
      <c r="H19" s="8">
        <v>44252</v>
      </c>
      <c r="I19" s="14">
        <v>1023.4601</v>
      </c>
      <c r="J19" s="8">
        <v>44252</v>
      </c>
    </row>
    <row r="20" spans="1:10" hidden="1" x14ac:dyDescent="0.25">
      <c r="A20" s="7">
        <v>17</v>
      </c>
      <c r="B20" s="8">
        <v>44252</v>
      </c>
      <c r="C20" s="9" t="s">
        <v>187</v>
      </c>
      <c r="D20" s="10" t="s">
        <v>24</v>
      </c>
      <c r="E20" s="15">
        <v>-12842.3773348</v>
      </c>
      <c r="F20" s="16">
        <v>-12.548</v>
      </c>
      <c r="G20" s="13">
        <v>7093.33</v>
      </c>
      <c r="H20" s="8">
        <v>44252</v>
      </c>
      <c r="I20" s="14">
        <v>1023.4601</v>
      </c>
      <c r="J20" s="8">
        <v>44252</v>
      </c>
    </row>
    <row r="21" spans="1:10" x14ac:dyDescent="0.25">
      <c r="A21" s="7">
        <v>18</v>
      </c>
      <c r="B21" s="8">
        <v>44280</v>
      </c>
      <c r="C21" s="9" t="s">
        <v>188</v>
      </c>
      <c r="D21" s="10" t="s">
        <v>24</v>
      </c>
      <c r="E21" s="15">
        <v>-11032.3874412</v>
      </c>
      <c r="F21" s="16">
        <v>-10.808999999999999</v>
      </c>
      <c r="G21" s="13">
        <v>7082.5209999999997</v>
      </c>
      <c r="H21" s="8">
        <v>44280</v>
      </c>
      <c r="I21" s="14">
        <v>1020.6668</v>
      </c>
      <c r="J21" s="8">
        <v>44280</v>
      </c>
    </row>
    <row r="22" spans="1:10" hidden="1" x14ac:dyDescent="0.25">
      <c r="A22" s="7">
        <v>19</v>
      </c>
      <c r="B22" s="8">
        <v>44280</v>
      </c>
      <c r="C22" s="9" t="s">
        <v>189</v>
      </c>
      <c r="D22" s="10" t="s">
        <v>24</v>
      </c>
      <c r="E22" s="15">
        <v>-13146.290450680001</v>
      </c>
      <c r="F22" s="16">
        <v>-12.880100000000001</v>
      </c>
      <c r="G22" s="13">
        <v>7069.6409000000003</v>
      </c>
      <c r="H22" s="8">
        <v>44280</v>
      </c>
      <c r="I22" s="14">
        <v>1020.6668</v>
      </c>
      <c r="J22" s="8">
        <v>44280</v>
      </c>
    </row>
    <row r="23" spans="1:10" x14ac:dyDescent="0.25">
      <c r="A23" s="7">
        <v>20</v>
      </c>
      <c r="B23" s="8">
        <v>44311</v>
      </c>
      <c r="C23" s="9" t="s">
        <v>190</v>
      </c>
      <c r="D23" s="10" t="s">
        <v>24</v>
      </c>
      <c r="E23" s="15">
        <v>-11258.62012412</v>
      </c>
      <c r="F23" s="16">
        <v>-10.953200000000001</v>
      </c>
      <c r="G23" s="13">
        <v>7058.6877000000004</v>
      </c>
      <c r="H23" s="8">
        <v>44312</v>
      </c>
      <c r="I23" s="14">
        <v>1027.8841</v>
      </c>
      <c r="J23" s="8">
        <v>44311</v>
      </c>
    </row>
    <row r="24" spans="1:10" hidden="1" x14ac:dyDescent="0.25">
      <c r="A24" s="7">
        <v>21</v>
      </c>
      <c r="B24" s="8">
        <v>44311</v>
      </c>
      <c r="C24" s="9" t="s">
        <v>191</v>
      </c>
      <c r="D24" s="10" t="s">
        <v>24</v>
      </c>
      <c r="E24" s="15">
        <v>-13415.84048479</v>
      </c>
      <c r="F24" s="16">
        <v>-13.0519</v>
      </c>
      <c r="G24" s="13">
        <v>7045.6358</v>
      </c>
      <c r="H24" s="8">
        <v>44312</v>
      </c>
      <c r="I24" s="14">
        <v>1027.8841</v>
      </c>
      <c r="J24" s="8">
        <v>44311</v>
      </c>
    </row>
    <row r="25" spans="1:10" x14ac:dyDescent="0.25">
      <c r="A25" s="7">
        <v>22</v>
      </c>
      <c r="B25" s="8">
        <v>44341</v>
      </c>
      <c r="C25" s="9" t="s">
        <v>192</v>
      </c>
      <c r="D25" s="10" t="s">
        <v>24</v>
      </c>
      <c r="E25" s="15">
        <v>-11558.002705299999</v>
      </c>
      <c r="F25" s="16">
        <v>-11.212999999999999</v>
      </c>
      <c r="G25" s="13">
        <v>7034.4228000000003</v>
      </c>
      <c r="H25" s="8">
        <v>44341</v>
      </c>
      <c r="I25" s="14">
        <v>1030.7681</v>
      </c>
      <c r="J25" s="8">
        <v>44341</v>
      </c>
    </row>
    <row r="26" spans="1:10" hidden="1" x14ac:dyDescent="0.25">
      <c r="A26" s="7">
        <v>23</v>
      </c>
      <c r="B26" s="8">
        <v>44341</v>
      </c>
      <c r="C26" s="9" t="s">
        <v>193</v>
      </c>
      <c r="D26" s="10" t="s">
        <v>24</v>
      </c>
      <c r="E26" s="15">
        <v>-13772.60796815</v>
      </c>
      <c r="F26" s="16">
        <v>-13.361499999999999</v>
      </c>
      <c r="G26" s="13">
        <v>7021.0613000000003</v>
      </c>
      <c r="H26" s="8">
        <v>44341</v>
      </c>
      <c r="I26" s="14">
        <v>1030.7681</v>
      </c>
      <c r="J26" s="8">
        <v>44341</v>
      </c>
    </row>
    <row r="27" spans="1:10" x14ac:dyDescent="0.25">
      <c r="A27" s="7">
        <v>24</v>
      </c>
      <c r="B27" s="8">
        <v>44372</v>
      </c>
      <c r="C27" s="9" t="s">
        <v>194</v>
      </c>
      <c r="D27" s="10" t="s">
        <v>24</v>
      </c>
      <c r="E27" s="15">
        <v>-11510.380280699999</v>
      </c>
      <c r="F27" s="16">
        <v>-11.087300000000001</v>
      </c>
      <c r="G27" s="13">
        <v>7009.9740000000002</v>
      </c>
      <c r="H27" s="8">
        <v>44372</v>
      </c>
      <c r="I27" s="14">
        <v>1038.1590000000001</v>
      </c>
      <c r="J27" s="8">
        <v>44372</v>
      </c>
    </row>
    <row r="28" spans="1:10" hidden="1" x14ac:dyDescent="0.25">
      <c r="A28" s="7">
        <v>25</v>
      </c>
      <c r="B28" s="8">
        <v>44372</v>
      </c>
      <c r="C28" s="9" t="s">
        <v>195</v>
      </c>
      <c r="D28" s="10" t="s">
        <v>24</v>
      </c>
      <c r="E28" s="15">
        <v>-13715.845260300001</v>
      </c>
      <c r="F28" s="16">
        <v>-13.2117</v>
      </c>
      <c r="G28" s="13">
        <v>6996.7623000000003</v>
      </c>
      <c r="H28" s="8">
        <v>44372</v>
      </c>
      <c r="I28" s="14">
        <v>1038.1590000000001</v>
      </c>
      <c r="J28" s="8">
        <v>44372</v>
      </c>
    </row>
    <row r="29" spans="1:10" x14ac:dyDescent="0.25">
      <c r="A29" s="7">
        <v>26</v>
      </c>
      <c r="B29" s="8">
        <v>44402</v>
      </c>
      <c r="C29" s="9" t="s">
        <v>196</v>
      </c>
      <c r="D29" s="10" t="s">
        <v>24</v>
      </c>
      <c r="E29" s="15">
        <v>-11591.42395862</v>
      </c>
      <c r="F29" s="16">
        <v>-11.1089</v>
      </c>
      <c r="G29" s="13">
        <v>6985.6534000000001</v>
      </c>
      <c r="H29" s="8">
        <v>44403</v>
      </c>
      <c r="I29" s="14">
        <v>1043.4358</v>
      </c>
      <c r="J29" s="8">
        <v>44402</v>
      </c>
    </row>
    <row r="30" spans="1:10" hidden="1" x14ac:dyDescent="0.25">
      <c r="A30" s="7">
        <v>27</v>
      </c>
      <c r="B30" s="8">
        <v>44402</v>
      </c>
      <c r="C30" s="9" t="s">
        <v>197</v>
      </c>
      <c r="D30" s="10" t="s">
        <v>24</v>
      </c>
      <c r="E30" s="15">
        <v>-13812.4814025</v>
      </c>
      <c r="F30" s="16">
        <v>-13.237500000000001</v>
      </c>
      <c r="G30" s="13">
        <v>6972.4159</v>
      </c>
      <c r="H30" s="8">
        <v>44403</v>
      </c>
      <c r="I30" s="14">
        <v>1043.4358</v>
      </c>
      <c r="J30" s="8">
        <v>44402</v>
      </c>
    </row>
    <row r="31" spans="1:10" x14ac:dyDescent="0.25">
      <c r="A31" s="7">
        <v>28</v>
      </c>
      <c r="B31" s="8">
        <v>44433</v>
      </c>
      <c r="C31" s="9" t="s">
        <v>198</v>
      </c>
      <c r="D31" s="10" t="s">
        <v>24</v>
      </c>
      <c r="E31" s="15">
        <v>-11783.54514939</v>
      </c>
      <c r="F31" s="16">
        <v>-11.2081</v>
      </c>
      <c r="G31" s="13">
        <v>6961.2078000000001</v>
      </c>
      <c r="H31" s="8">
        <v>44433</v>
      </c>
      <c r="I31" s="14">
        <v>1051.3418999999999</v>
      </c>
      <c r="J31" s="8">
        <v>44433</v>
      </c>
    </row>
    <row r="32" spans="1:10" hidden="1" x14ac:dyDescent="0.25">
      <c r="A32" s="7">
        <v>29</v>
      </c>
      <c r="B32" s="8">
        <v>44433</v>
      </c>
      <c r="C32" s="9" t="s">
        <v>199</v>
      </c>
      <c r="D32" s="10" t="s">
        <v>24</v>
      </c>
      <c r="E32" s="15">
        <v>-14041.51214802</v>
      </c>
      <c r="F32" s="16">
        <v>-13.3558</v>
      </c>
      <c r="G32" s="13">
        <v>6947.8519999999999</v>
      </c>
      <c r="H32" s="8">
        <v>44433</v>
      </c>
      <c r="I32" s="14">
        <v>1051.3418999999999</v>
      </c>
      <c r="J32" s="8">
        <v>44433</v>
      </c>
    </row>
    <row r="33" spans="1:10" x14ac:dyDescent="0.25">
      <c r="A33" s="7">
        <v>30</v>
      </c>
      <c r="B33" s="8">
        <v>44464</v>
      </c>
      <c r="C33" s="9" t="s">
        <v>200</v>
      </c>
      <c r="D33" s="10" t="s">
        <v>24</v>
      </c>
      <c r="E33" s="15">
        <v>-13407.3943588</v>
      </c>
      <c r="F33" s="16">
        <v>-12.7361</v>
      </c>
      <c r="G33" s="13">
        <v>6935.1158999999998</v>
      </c>
      <c r="H33" s="8">
        <v>44466</v>
      </c>
      <c r="I33" s="14">
        <v>1052.7080000000001</v>
      </c>
      <c r="J33" s="8">
        <v>44464</v>
      </c>
    </row>
    <row r="34" spans="1:10" hidden="1" x14ac:dyDescent="0.25">
      <c r="A34" s="7">
        <v>31</v>
      </c>
      <c r="B34" s="8">
        <v>44464</v>
      </c>
      <c r="C34" s="9" t="s">
        <v>201</v>
      </c>
      <c r="D34" s="10" t="s">
        <v>24</v>
      </c>
      <c r="E34" s="15">
        <v>-14113.024531200001</v>
      </c>
      <c r="F34" s="16">
        <v>-13.4064</v>
      </c>
      <c r="G34" s="13">
        <v>6921.7094999999999</v>
      </c>
      <c r="H34" s="8">
        <v>44466</v>
      </c>
      <c r="I34" s="14">
        <v>1052.7080000000001</v>
      </c>
      <c r="J34" s="8">
        <v>44464</v>
      </c>
    </row>
    <row r="35" spans="1:10" x14ac:dyDescent="0.25">
      <c r="A35" s="7">
        <v>32</v>
      </c>
      <c r="B35" s="8">
        <v>44494</v>
      </c>
      <c r="C35" s="9" t="s">
        <v>202</v>
      </c>
      <c r="D35" s="10" t="s">
        <v>24</v>
      </c>
      <c r="E35" s="15">
        <v>-12982.04195166</v>
      </c>
      <c r="F35" s="16">
        <v>-12.292199999999999</v>
      </c>
      <c r="G35" s="13">
        <v>6909.4173000000001</v>
      </c>
      <c r="H35" s="8">
        <v>44494</v>
      </c>
      <c r="I35" s="14">
        <v>1056.1203</v>
      </c>
      <c r="J35" s="8">
        <v>44494</v>
      </c>
    </row>
    <row r="36" spans="1:10" hidden="1" x14ac:dyDescent="0.25">
      <c r="A36" s="7">
        <v>33</v>
      </c>
      <c r="B36" s="8">
        <v>44494</v>
      </c>
      <c r="C36" s="9" t="s">
        <v>203</v>
      </c>
      <c r="D36" s="10" t="s">
        <v>24</v>
      </c>
      <c r="E36" s="15">
        <v>-13665.35178576</v>
      </c>
      <c r="F36" s="16">
        <v>-12.9392</v>
      </c>
      <c r="G36" s="13">
        <v>6896.4781000000003</v>
      </c>
      <c r="H36" s="8">
        <v>44494</v>
      </c>
      <c r="I36" s="14">
        <v>1056.1203</v>
      </c>
      <c r="J36" s="8">
        <v>44494</v>
      </c>
    </row>
    <row r="37" spans="1:10" x14ac:dyDescent="0.25">
      <c r="A37" s="7">
        <v>34</v>
      </c>
      <c r="B37" s="8">
        <v>44525</v>
      </c>
      <c r="C37" s="9" t="s">
        <v>204</v>
      </c>
      <c r="D37" s="10" t="s">
        <v>24</v>
      </c>
      <c r="E37" s="15">
        <v>-13136.712303890001</v>
      </c>
      <c r="F37" s="16">
        <v>-12.3767</v>
      </c>
      <c r="G37" s="13">
        <v>6884.1013999999996</v>
      </c>
      <c r="H37" s="8">
        <v>44525</v>
      </c>
      <c r="I37" s="14">
        <v>1061.4067</v>
      </c>
      <c r="J37" s="8">
        <v>44525</v>
      </c>
    </row>
    <row r="38" spans="1:10" hidden="1" x14ac:dyDescent="0.25">
      <c r="A38" s="7">
        <v>35</v>
      </c>
      <c r="B38" s="8">
        <v>44525</v>
      </c>
      <c r="C38" s="9" t="s">
        <v>205</v>
      </c>
      <c r="D38" s="10" t="s">
        <v>24</v>
      </c>
      <c r="E38" s="15">
        <v>-13828.112628270001</v>
      </c>
      <c r="F38" s="16">
        <v>-13.0281</v>
      </c>
      <c r="G38" s="13">
        <v>6871.0733</v>
      </c>
      <c r="H38" s="8">
        <v>44525</v>
      </c>
      <c r="I38" s="14">
        <v>1061.4067</v>
      </c>
      <c r="J38" s="8">
        <v>44525</v>
      </c>
    </row>
    <row r="39" spans="1:10" x14ac:dyDescent="0.25">
      <c r="A39" s="7">
        <v>36</v>
      </c>
      <c r="B39" s="8">
        <v>44555</v>
      </c>
      <c r="C39" s="9" t="s">
        <v>206</v>
      </c>
      <c r="D39" s="10" t="s">
        <v>24</v>
      </c>
      <c r="E39" s="15">
        <v>-13219.550203540201</v>
      </c>
      <c r="F39" s="16">
        <v>-12.4381952181323</v>
      </c>
      <c r="G39" s="13">
        <v>6858.6351047818698</v>
      </c>
      <c r="H39" s="8">
        <v>44554</v>
      </c>
      <c r="I39" s="14">
        <v>1062.819</v>
      </c>
      <c r="J39" s="8">
        <v>44555</v>
      </c>
    </row>
    <row r="40" spans="1:10" hidden="1" x14ac:dyDescent="0.25">
      <c r="A40" s="7">
        <v>37</v>
      </c>
      <c r="B40" s="8">
        <v>44555</v>
      </c>
      <c r="C40" s="9" t="s">
        <v>207</v>
      </c>
      <c r="D40" s="10" t="s">
        <v>24</v>
      </c>
      <c r="E40" s="15">
        <v>-13915.316003726501</v>
      </c>
      <c r="F40" s="16">
        <v>-13.092837071718201</v>
      </c>
      <c r="G40" s="13">
        <v>6845.5422677101496</v>
      </c>
      <c r="H40" s="8">
        <v>44554</v>
      </c>
      <c r="I40" s="14">
        <v>1062.819</v>
      </c>
      <c r="J40" s="8">
        <v>44555</v>
      </c>
    </row>
    <row r="41" spans="1:10" x14ac:dyDescent="0.25">
      <c r="A41" s="7">
        <v>38</v>
      </c>
      <c r="B41" s="8">
        <v>44586</v>
      </c>
      <c r="C41" s="9" t="s">
        <v>208</v>
      </c>
      <c r="D41" s="10" t="s">
        <v>24</v>
      </c>
      <c r="E41" s="15">
        <v>-12989.577591900001</v>
      </c>
      <c r="F41" s="16">
        <v>-12.203099999999999</v>
      </c>
      <c r="G41" s="13">
        <v>6833.3391677101499</v>
      </c>
      <c r="H41" s="8">
        <v>44586</v>
      </c>
      <c r="I41" s="14">
        <v>1064.4490000000001</v>
      </c>
      <c r="J41" s="8">
        <v>44586</v>
      </c>
    </row>
    <row r="42" spans="1:10" hidden="1" x14ac:dyDescent="0.25">
      <c r="A42" s="7">
        <v>39</v>
      </c>
      <c r="B42" s="8">
        <v>44586</v>
      </c>
      <c r="C42" s="9" t="s">
        <v>209</v>
      </c>
      <c r="D42" s="10" t="s">
        <v>24</v>
      </c>
      <c r="E42" s="15">
        <v>-13673.273184600001</v>
      </c>
      <c r="F42" s="16">
        <v>-12.8454</v>
      </c>
      <c r="G42" s="13">
        <v>6820.4937677101498</v>
      </c>
      <c r="H42" s="8">
        <v>44586</v>
      </c>
      <c r="I42" s="14">
        <v>1064.4490000000001</v>
      </c>
      <c r="J42" s="8">
        <v>44586</v>
      </c>
    </row>
    <row r="43" spans="1:10" x14ac:dyDescent="0.25">
      <c r="A43" s="7">
        <v>40</v>
      </c>
      <c r="B43" s="8">
        <v>44617</v>
      </c>
      <c r="C43" s="9" t="s">
        <v>210</v>
      </c>
      <c r="D43" s="10" t="s">
        <v>24</v>
      </c>
      <c r="E43" s="15">
        <v>-12903.154850229999</v>
      </c>
      <c r="F43" s="16">
        <v>-12.1031</v>
      </c>
      <c r="G43" s="13">
        <v>6808.3906677101504</v>
      </c>
      <c r="H43" s="8">
        <v>44617</v>
      </c>
      <c r="I43" s="14">
        <v>1066.1033</v>
      </c>
      <c r="J43" s="8">
        <v>44617</v>
      </c>
    </row>
    <row r="44" spans="1:10" hidden="1" x14ac:dyDescent="0.25">
      <c r="A44" s="7">
        <v>41</v>
      </c>
      <c r="B44" s="8">
        <v>44617</v>
      </c>
      <c r="C44" s="9" t="s">
        <v>211</v>
      </c>
      <c r="D44" s="10" t="s">
        <v>24</v>
      </c>
      <c r="E44" s="15">
        <v>-13582.26265233</v>
      </c>
      <c r="F44" s="16">
        <v>-12.7401</v>
      </c>
      <c r="G44" s="13">
        <v>6795.6505677101504</v>
      </c>
      <c r="H44" s="8">
        <v>44617</v>
      </c>
      <c r="I44" s="14">
        <v>1066.1033</v>
      </c>
      <c r="J44" s="8">
        <v>44617</v>
      </c>
    </row>
    <row r="45" spans="1:10" x14ac:dyDescent="0.25">
      <c r="A45" s="7">
        <v>42</v>
      </c>
      <c r="B45" s="8">
        <v>44645</v>
      </c>
      <c r="C45" s="9" t="s">
        <v>212</v>
      </c>
      <c r="D45" s="10" t="s">
        <v>24</v>
      </c>
      <c r="E45" s="15">
        <v>-12658.70083068</v>
      </c>
      <c r="F45" s="16">
        <v>-11.911799999999999</v>
      </c>
      <c r="G45" s="13">
        <v>6783.7387677101497</v>
      </c>
      <c r="H45" s="8">
        <v>44645</v>
      </c>
      <c r="I45" s="14">
        <v>1062.7026000000001</v>
      </c>
      <c r="J45" s="8">
        <v>44645</v>
      </c>
    </row>
    <row r="46" spans="1:10" hidden="1" x14ac:dyDescent="0.25">
      <c r="A46" s="7">
        <v>43</v>
      </c>
      <c r="B46" s="8">
        <v>44645</v>
      </c>
      <c r="C46" s="9" t="s">
        <v>213</v>
      </c>
      <c r="D46" s="10" t="s">
        <v>24</v>
      </c>
      <c r="E46" s="15">
        <v>-13324.90909062</v>
      </c>
      <c r="F46" s="16">
        <v>-12.5387</v>
      </c>
      <c r="G46" s="13">
        <v>6771.2000677101496</v>
      </c>
      <c r="H46" s="8">
        <v>44645</v>
      </c>
      <c r="I46" s="14">
        <v>1062.7026000000001</v>
      </c>
      <c r="J46" s="8">
        <v>44645</v>
      </c>
    </row>
    <row r="47" spans="1:10" x14ac:dyDescent="0.25">
      <c r="A47" s="7">
        <v>44</v>
      </c>
      <c r="B47" s="8">
        <v>44676</v>
      </c>
      <c r="C47" s="9" t="s">
        <v>214</v>
      </c>
      <c r="D47" s="10" t="s">
        <v>24</v>
      </c>
      <c r="E47" s="15">
        <v>-12346.338858839999</v>
      </c>
      <c r="F47" s="16">
        <v>-11.675800000000001</v>
      </c>
      <c r="G47" s="13">
        <v>6759.5242677101496</v>
      </c>
      <c r="H47" s="8">
        <v>44676</v>
      </c>
      <c r="I47" s="14">
        <v>1057.4297999999999</v>
      </c>
      <c r="J47" s="8">
        <v>44676</v>
      </c>
    </row>
    <row r="48" spans="1:10" hidden="1" x14ac:dyDescent="0.25">
      <c r="A48" s="7">
        <v>45</v>
      </c>
      <c r="B48" s="8">
        <v>44676</v>
      </c>
      <c r="C48" s="9" t="s">
        <v>215</v>
      </c>
      <c r="D48" s="10" t="s">
        <v>24</v>
      </c>
      <c r="E48" s="15">
        <v>-12996.129470940001</v>
      </c>
      <c r="F48" s="16">
        <v>-12.2903</v>
      </c>
      <c r="G48" s="13">
        <v>6747.23396771015</v>
      </c>
      <c r="H48" s="8">
        <v>44676</v>
      </c>
      <c r="I48" s="14">
        <v>1057.4297999999999</v>
      </c>
      <c r="J48" s="8">
        <v>44676</v>
      </c>
    </row>
    <row r="49" spans="1:10" x14ac:dyDescent="0.25">
      <c r="A49" s="7">
        <v>46</v>
      </c>
      <c r="B49" s="8">
        <v>44706</v>
      </c>
      <c r="C49" s="9" t="s">
        <v>216</v>
      </c>
      <c r="D49" s="10" t="s">
        <v>24</v>
      </c>
      <c r="E49" s="15">
        <v>-12652.53721658</v>
      </c>
      <c r="F49" s="16">
        <v>-12.0418</v>
      </c>
      <c r="G49" s="13">
        <v>6735.19216771015</v>
      </c>
      <c r="H49" s="8">
        <v>44706</v>
      </c>
      <c r="I49" s="14">
        <v>1050.7181</v>
      </c>
      <c r="J49" s="8">
        <v>44706</v>
      </c>
    </row>
    <row r="50" spans="1:10" hidden="1" x14ac:dyDescent="0.25">
      <c r="A50" s="7">
        <v>47</v>
      </c>
      <c r="B50" s="8">
        <v>44706</v>
      </c>
      <c r="C50" s="9" t="s">
        <v>217</v>
      </c>
      <c r="D50" s="10" t="s">
        <v>24</v>
      </c>
      <c r="E50" s="15">
        <v>-13318.482348359999</v>
      </c>
      <c r="F50" s="16">
        <v>-12.675599999999999</v>
      </c>
      <c r="G50" s="13">
        <v>6722.5165677101504</v>
      </c>
      <c r="H50" s="8">
        <v>44706</v>
      </c>
      <c r="I50" s="14">
        <v>1050.7181</v>
      </c>
      <c r="J50" s="8">
        <v>44706</v>
      </c>
    </row>
    <row r="51" spans="1:10" x14ac:dyDescent="0.25">
      <c r="A51" s="7">
        <v>48</v>
      </c>
      <c r="B51" s="8">
        <v>44737</v>
      </c>
      <c r="C51" s="9" t="s">
        <v>218</v>
      </c>
      <c r="D51" s="10" t="s">
        <v>24</v>
      </c>
      <c r="E51" s="15">
        <v>-12696.302823149999</v>
      </c>
      <c r="F51" s="16">
        <v>-12.052099999999999</v>
      </c>
      <c r="G51" s="13">
        <v>6710.4644677101496</v>
      </c>
      <c r="H51" s="8">
        <v>44739</v>
      </c>
      <c r="I51" s="14">
        <v>1053.4514999999999</v>
      </c>
      <c r="J51" s="8">
        <v>44737</v>
      </c>
    </row>
    <row r="52" spans="1:10" hidden="1" x14ac:dyDescent="0.25">
      <c r="A52" s="7">
        <v>49</v>
      </c>
      <c r="B52" s="8">
        <v>44737</v>
      </c>
      <c r="C52" s="9" t="s">
        <v>219</v>
      </c>
      <c r="D52" s="10" t="s">
        <v>24</v>
      </c>
      <c r="E52" s="15">
        <v>-13364.61245475</v>
      </c>
      <c r="F52" s="16">
        <v>-12.686500000000001</v>
      </c>
      <c r="G52" s="13">
        <v>6697.7779677101498</v>
      </c>
      <c r="H52" s="8">
        <v>44739</v>
      </c>
      <c r="I52" s="14">
        <v>1053.4514999999999</v>
      </c>
      <c r="J52" s="8">
        <v>44737</v>
      </c>
    </row>
    <row r="53" spans="1:10" x14ac:dyDescent="0.25">
      <c r="A53" s="7">
        <v>50</v>
      </c>
      <c r="B53" s="8">
        <v>44798</v>
      </c>
      <c r="C53" s="9" t="s">
        <v>220</v>
      </c>
      <c r="D53" s="10" t="s">
        <v>24</v>
      </c>
      <c r="E53" s="15">
        <v>-12489.346949840001</v>
      </c>
      <c r="F53" s="16">
        <v>-11.7896</v>
      </c>
      <c r="G53" s="13">
        <v>6685.9883677101498</v>
      </c>
      <c r="H53" s="8">
        <v>44798</v>
      </c>
      <c r="I53" s="14">
        <v>1059.3529000000001</v>
      </c>
      <c r="J53" s="8">
        <v>44798</v>
      </c>
    </row>
    <row r="54" spans="1:10" hidden="1" x14ac:dyDescent="0.25">
      <c r="A54" s="7">
        <v>51</v>
      </c>
      <c r="B54" s="8">
        <v>44798</v>
      </c>
      <c r="C54" s="9" t="s">
        <v>221</v>
      </c>
      <c r="D54" s="10" t="s">
        <v>24</v>
      </c>
      <c r="E54" s="15">
        <v>-13146.675424290001</v>
      </c>
      <c r="F54" s="16">
        <v>-12.4101</v>
      </c>
      <c r="G54" s="13">
        <v>6673.5782677101497</v>
      </c>
      <c r="H54" s="8">
        <v>44798</v>
      </c>
      <c r="I54" s="14">
        <v>1059.3529000000001</v>
      </c>
      <c r="J54" s="8">
        <v>44798</v>
      </c>
    </row>
    <row r="55" spans="1:10" x14ac:dyDescent="0.25">
      <c r="A55" s="7">
        <v>52</v>
      </c>
      <c r="B55" s="8">
        <v>44829</v>
      </c>
      <c r="C55" s="9" t="s">
        <v>222</v>
      </c>
      <c r="D55" s="10" t="s">
        <v>24</v>
      </c>
      <c r="E55" s="15">
        <v>-13921.74587072</v>
      </c>
      <c r="F55" s="16">
        <v>-13.203200000000001</v>
      </c>
      <c r="G55" s="13">
        <v>6660.3750677101498</v>
      </c>
      <c r="H55" s="8">
        <v>44830</v>
      </c>
      <c r="I55" s="14">
        <v>1054.4221</v>
      </c>
      <c r="J55" s="8">
        <v>44829</v>
      </c>
    </row>
    <row r="56" spans="1:10" hidden="1" x14ac:dyDescent="0.25">
      <c r="A56" s="7">
        <v>53</v>
      </c>
      <c r="B56" s="8">
        <v>44829</v>
      </c>
      <c r="C56" s="9" t="s">
        <v>223</v>
      </c>
      <c r="D56" s="10" t="s">
        <v>24</v>
      </c>
      <c r="E56" s="15">
        <v>-12954.313593970001</v>
      </c>
      <c r="F56" s="16">
        <v>-12.2857</v>
      </c>
      <c r="G56" s="13">
        <v>6648.0893677101503</v>
      </c>
      <c r="H56" s="8">
        <v>44830</v>
      </c>
      <c r="I56" s="14">
        <v>1054.4221</v>
      </c>
      <c r="J56" s="8">
        <v>44829</v>
      </c>
    </row>
    <row r="57" spans="1:10" x14ac:dyDescent="0.25">
      <c r="A57" s="7">
        <v>54</v>
      </c>
      <c r="B57" s="8">
        <v>44859</v>
      </c>
      <c r="C57" s="9" t="s">
        <v>224</v>
      </c>
      <c r="D57" s="10" t="s">
        <v>24</v>
      </c>
      <c r="E57" s="15">
        <v>-14074.30327</v>
      </c>
      <c r="F57" s="16">
        <v>-13.45</v>
      </c>
      <c r="G57" s="13">
        <v>6634.6393677101496</v>
      </c>
      <c r="H57" s="8">
        <v>44859</v>
      </c>
      <c r="I57" s="14">
        <v>1046.4166</v>
      </c>
      <c r="J57" s="8">
        <v>44859</v>
      </c>
    </row>
    <row r="58" spans="1:10" hidden="1" x14ac:dyDescent="0.25">
      <c r="A58" s="7">
        <v>55</v>
      </c>
      <c r="B58" s="8">
        <v>44859</v>
      </c>
      <c r="C58" s="9" t="s">
        <v>225</v>
      </c>
      <c r="D58" s="10" t="s">
        <v>24</v>
      </c>
      <c r="E58" s="15">
        <v>-13096.32231564</v>
      </c>
      <c r="F58" s="16">
        <v>-12.5154</v>
      </c>
      <c r="G58" s="13">
        <v>6622.1239677101503</v>
      </c>
      <c r="H58" s="8">
        <v>44859</v>
      </c>
      <c r="I58" s="14">
        <v>1046.4166</v>
      </c>
      <c r="J58" s="8">
        <v>44859</v>
      </c>
    </row>
    <row r="59" spans="1:10" x14ac:dyDescent="0.25">
      <c r="A59" s="7">
        <v>56</v>
      </c>
      <c r="B59" s="8">
        <v>44890</v>
      </c>
      <c r="C59" s="9" t="s">
        <v>226</v>
      </c>
      <c r="D59" s="10" t="s">
        <v>24</v>
      </c>
      <c r="E59" s="15">
        <v>-14183.03140324</v>
      </c>
      <c r="F59" s="16">
        <v>-13.403600000000001</v>
      </c>
      <c r="G59" s="13">
        <v>6608.7203677101497</v>
      </c>
      <c r="H59" s="8">
        <v>44890</v>
      </c>
      <c r="I59" s="14">
        <v>1058.1509000000001</v>
      </c>
      <c r="J59" s="8">
        <v>44890</v>
      </c>
    </row>
    <row r="60" spans="1:10" hidden="1" x14ac:dyDescent="0.25">
      <c r="A60" s="7">
        <v>57</v>
      </c>
      <c r="B60" s="8">
        <v>44890</v>
      </c>
      <c r="C60" s="9" t="s">
        <v>227</v>
      </c>
      <c r="D60" s="10" t="s">
        <v>24</v>
      </c>
      <c r="E60" s="15">
        <v>-13197.36383989</v>
      </c>
      <c r="F60" s="16">
        <v>-12.472099999999999</v>
      </c>
      <c r="G60" s="13">
        <v>6596.2482677101498</v>
      </c>
      <c r="H60" s="8">
        <v>44890</v>
      </c>
      <c r="I60" s="14">
        <v>1058.1509000000001</v>
      </c>
      <c r="J60" s="8">
        <v>44890</v>
      </c>
    </row>
    <row r="61" spans="1:10" x14ac:dyDescent="0.25">
      <c r="A61" s="7">
        <v>58</v>
      </c>
      <c r="B61" s="8">
        <v>44951</v>
      </c>
      <c r="C61" s="9" t="s">
        <v>228</v>
      </c>
      <c r="D61" s="10" t="s">
        <v>24</v>
      </c>
      <c r="E61" s="15">
        <v>-14382.93015674</v>
      </c>
      <c r="F61" s="16">
        <v>-13.471399999999999</v>
      </c>
      <c r="G61" s="13">
        <v>6582.7768677101503</v>
      </c>
      <c r="H61" s="8">
        <v>44951</v>
      </c>
      <c r="I61" s="14">
        <v>1067.6641</v>
      </c>
      <c r="J61" s="8">
        <v>44951</v>
      </c>
    </row>
    <row r="62" spans="1:10" hidden="1" x14ac:dyDescent="0.25">
      <c r="A62" s="7">
        <v>59</v>
      </c>
      <c r="B62" s="8">
        <v>44951</v>
      </c>
      <c r="C62" s="9" t="s">
        <v>229</v>
      </c>
      <c r="D62" s="10" t="s">
        <v>24</v>
      </c>
      <c r="E62" s="15">
        <v>-13383.489792730001</v>
      </c>
      <c r="F62" s="16">
        <v>-12.535299999999999</v>
      </c>
      <c r="G62" s="13">
        <v>6570.2415677101499</v>
      </c>
      <c r="H62" s="8">
        <v>44951</v>
      </c>
      <c r="I62" s="14">
        <v>1067.6641</v>
      </c>
      <c r="J62" s="8">
        <v>44951</v>
      </c>
    </row>
    <row r="63" spans="1:10" x14ac:dyDescent="0.25">
      <c r="A63" s="7">
        <v>60</v>
      </c>
      <c r="B63" s="8">
        <v>44982</v>
      </c>
      <c r="C63" s="9" t="s">
        <v>230</v>
      </c>
      <c r="D63" s="10" t="s">
        <v>24</v>
      </c>
      <c r="E63" s="15">
        <v>-14428.478926829999</v>
      </c>
      <c r="F63" s="16">
        <v>-13.5001</v>
      </c>
      <c r="G63" s="13">
        <v>6556.7414677101497</v>
      </c>
      <c r="H63" s="8">
        <v>44984</v>
      </c>
      <c r="I63" s="14">
        <v>1068.7683</v>
      </c>
      <c r="J63" s="8">
        <v>44982</v>
      </c>
    </row>
    <row r="64" spans="1:10" hidden="1" x14ac:dyDescent="0.25">
      <c r="A64" s="7">
        <v>61</v>
      </c>
      <c r="B64" s="8">
        <v>44982</v>
      </c>
      <c r="C64" s="9" t="s">
        <v>231</v>
      </c>
      <c r="D64" s="10" t="s">
        <v>24</v>
      </c>
      <c r="E64" s="15">
        <v>-13425.8673846</v>
      </c>
      <c r="F64" s="16">
        <v>-12.561999999999999</v>
      </c>
      <c r="G64" s="13">
        <v>6544.1794677101498</v>
      </c>
      <c r="H64" s="8">
        <v>44984</v>
      </c>
      <c r="I64" s="14">
        <v>1068.7683</v>
      </c>
      <c r="J64" s="8">
        <v>44982</v>
      </c>
    </row>
    <row r="65" spans="1:10" x14ac:dyDescent="0.25">
      <c r="A65" s="7">
        <v>62</v>
      </c>
      <c r="B65" s="8">
        <v>45010</v>
      </c>
      <c r="C65" s="9" t="s">
        <v>232</v>
      </c>
      <c r="D65" s="10" t="s">
        <v>24</v>
      </c>
      <c r="E65" s="15">
        <v>-14732.938496500001</v>
      </c>
      <c r="F65" s="16">
        <v>-13.722099999999999</v>
      </c>
      <c r="G65" s="13">
        <v>6530.4573677101498</v>
      </c>
      <c r="H65" s="8">
        <v>45012</v>
      </c>
      <c r="I65" s="14">
        <v>1073.665</v>
      </c>
      <c r="J65" s="8">
        <v>45010</v>
      </c>
    </row>
    <row r="66" spans="1:10" hidden="1" x14ac:dyDescent="0.25">
      <c r="A66" s="7">
        <v>63</v>
      </c>
      <c r="B66" s="8">
        <v>45010</v>
      </c>
      <c r="C66" s="9" t="s">
        <v>233</v>
      </c>
      <c r="D66" s="10" t="s">
        <v>24</v>
      </c>
      <c r="E66" s="15">
        <v>-13709.0915525</v>
      </c>
      <c r="F66" s="16">
        <v>-12.7685</v>
      </c>
      <c r="G66" s="13">
        <v>6517.6888677101497</v>
      </c>
      <c r="H66" s="8">
        <v>45012</v>
      </c>
      <c r="I66" s="14">
        <v>1073.665</v>
      </c>
      <c r="J66" s="8">
        <v>45010</v>
      </c>
    </row>
    <row r="67" spans="1:10" x14ac:dyDescent="0.25">
      <c r="A67" s="7">
        <v>64</v>
      </c>
      <c r="B67" s="8">
        <v>45041</v>
      </c>
      <c r="C67" s="9" t="s">
        <v>234</v>
      </c>
      <c r="D67" s="10" t="s">
        <v>24</v>
      </c>
      <c r="E67" s="15">
        <v>-14624.826247479999</v>
      </c>
      <c r="F67" s="16">
        <v>-13.538600000000001</v>
      </c>
      <c r="G67" s="13">
        <v>6504.1502677101498</v>
      </c>
      <c r="H67" s="8">
        <v>45042</v>
      </c>
      <c r="I67" s="14">
        <v>1080.2318</v>
      </c>
      <c r="J67" s="8">
        <v>45041</v>
      </c>
    </row>
    <row r="68" spans="1:10" hidden="1" x14ac:dyDescent="0.25">
      <c r="A68" s="7">
        <v>65</v>
      </c>
      <c r="B68" s="8">
        <v>45041</v>
      </c>
      <c r="C68" s="9" t="s">
        <v>235</v>
      </c>
      <c r="D68" s="10" t="s">
        <v>24</v>
      </c>
      <c r="E68" s="15">
        <v>-13608.544170040001</v>
      </c>
      <c r="F68" s="16">
        <v>-12.597799999999999</v>
      </c>
      <c r="G68" s="13">
        <v>6491.5524677101503</v>
      </c>
      <c r="H68" s="8">
        <v>45042</v>
      </c>
      <c r="I68" s="14">
        <v>1080.2318</v>
      </c>
      <c r="J68" s="8">
        <v>45041</v>
      </c>
    </row>
    <row r="69" spans="1:10" x14ac:dyDescent="0.25">
      <c r="A69" s="7">
        <v>66</v>
      </c>
      <c r="B69" s="8">
        <v>45071</v>
      </c>
      <c r="C69" s="9" t="s">
        <v>236</v>
      </c>
      <c r="D69" s="10" t="s">
        <v>24</v>
      </c>
      <c r="E69" s="15">
        <v>-14761.02160731</v>
      </c>
      <c r="F69" s="16">
        <v>-13.539899999999999</v>
      </c>
      <c r="G69" s="13">
        <v>6478.0125677101496</v>
      </c>
      <c r="H69" s="8">
        <v>45071</v>
      </c>
      <c r="I69" s="14">
        <v>1090.1868999999999</v>
      </c>
      <c r="J69" s="8">
        <v>45071</v>
      </c>
    </row>
    <row r="70" spans="1:10" hidden="1" x14ac:dyDescent="0.25">
      <c r="A70" s="7">
        <v>67</v>
      </c>
      <c r="B70" s="8">
        <v>45071</v>
      </c>
      <c r="C70" s="9" t="s">
        <v>237</v>
      </c>
      <c r="D70" s="10" t="s">
        <v>24</v>
      </c>
      <c r="E70" s="15">
        <v>-13735.2647531</v>
      </c>
      <c r="F70" s="16">
        <v>-12.599</v>
      </c>
      <c r="G70" s="13">
        <v>6465.4135677101503</v>
      </c>
      <c r="H70" s="8">
        <v>45071</v>
      </c>
      <c r="I70" s="14">
        <v>1090.1868999999999</v>
      </c>
      <c r="J70" s="8">
        <v>45071</v>
      </c>
    </row>
    <row r="71" spans="1:10" x14ac:dyDescent="0.25">
      <c r="A71" s="7">
        <v>68</v>
      </c>
      <c r="B71" s="8">
        <v>45102</v>
      </c>
      <c r="C71" s="9" t="s">
        <v>238</v>
      </c>
      <c r="D71" s="10" t="s">
        <v>24</v>
      </c>
      <c r="E71" s="15">
        <v>-14871.790250239999</v>
      </c>
      <c r="F71" s="16">
        <v>-13.4057</v>
      </c>
      <c r="G71" s="13">
        <v>6452.0078677101501</v>
      </c>
      <c r="H71" s="8">
        <v>45103</v>
      </c>
      <c r="I71" s="14">
        <v>1109.3632</v>
      </c>
      <c r="J71" s="8">
        <v>45102</v>
      </c>
    </row>
    <row r="72" spans="1:10" hidden="1" x14ac:dyDescent="0.25">
      <c r="A72" s="7">
        <v>69</v>
      </c>
      <c r="B72" s="8">
        <v>45102</v>
      </c>
      <c r="C72" s="9" t="s">
        <v>239</v>
      </c>
      <c r="D72" s="10" t="s">
        <v>24</v>
      </c>
      <c r="E72" s="15">
        <v>-13838.307493120001</v>
      </c>
      <c r="F72" s="16">
        <v>-12.4741</v>
      </c>
      <c r="G72" s="13">
        <v>6439.5337677101497</v>
      </c>
      <c r="H72" s="8">
        <v>45103</v>
      </c>
      <c r="I72" s="14">
        <v>1109.3632</v>
      </c>
      <c r="J72" s="8">
        <v>45102</v>
      </c>
    </row>
    <row r="73" spans="1:10" x14ac:dyDescent="0.25">
      <c r="A73" s="7">
        <v>70</v>
      </c>
      <c r="B73" s="8">
        <v>45132</v>
      </c>
      <c r="C73" s="9" t="s">
        <v>240</v>
      </c>
      <c r="D73" s="10" t="s">
        <v>24</v>
      </c>
      <c r="E73" s="15">
        <v>-14810.507045460001</v>
      </c>
      <c r="F73" s="16">
        <v>-13.2822</v>
      </c>
      <c r="G73" s="13">
        <v>6426.2515677101501</v>
      </c>
      <c r="H73" s="8">
        <v>45132</v>
      </c>
      <c r="I73" s="14">
        <v>1115.0643</v>
      </c>
      <c r="J73" s="8">
        <v>45132</v>
      </c>
    </row>
    <row r="74" spans="1:10" hidden="1" x14ac:dyDescent="0.25">
      <c r="A74" s="7">
        <v>71</v>
      </c>
      <c r="B74" s="8">
        <v>45132</v>
      </c>
      <c r="C74" s="9" t="s">
        <v>241</v>
      </c>
      <c r="D74" s="10" t="s">
        <v>24</v>
      </c>
      <c r="E74" s="15">
        <v>-13781.30269656</v>
      </c>
      <c r="F74" s="16">
        <v>-12.3592</v>
      </c>
      <c r="G74" s="13">
        <v>6413.8923677101502</v>
      </c>
      <c r="H74" s="8">
        <v>45132</v>
      </c>
      <c r="I74" s="14">
        <v>1115.0643</v>
      </c>
      <c r="J74" s="8">
        <v>45132</v>
      </c>
    </row>
    <row r="75" spans="1:10" x14ac:dyDescent="0.25">
      <c r="A75" s="7">
        <v>72</v>
      </c>
      <c r="B75" s="8">
        <v>45163</v>
      </c>
      <c r="C75" s="9" t="s">
        <v>242</v>
      </c>
      <c r="D75" s="10" t="s">
        <v>24</v>
      </c>
      <c r="E75" s="15">
        <v>-14706.99474192</v>
      </c>
      <c r="F75" s="16">
        <v>-13.2417</v>
      </c>
      <c r="G75" s="13">
        <v>6400.6506677101497</v>
      </c>
      <c r="H75" s="8">
        <v>45163</v>
      </c>
      <c r="I75" s="14">
        <v>1110.6576</v>
      </c>
      <c r="J75" s="8">
        <v>45163</v>
      </c>
    </row>
    <row r="76" spans="1:10" hidden="1" x14ac:dyDescent="0.25">
      <c r="A76" s="7">
        <v>73</v>
      </c>
      <c r="B76" s="8">
        <v>45163</v>
      </c>
      <c r="C76" s="9" t="s">
        <v>243</v>
      </c>
      <c r="D76" s="10" t="s">
        <v>24</v>
      </c>
      <c r="E76" s="15">
        <v>-13684.9676184</v>
      </c>
      <c r="F76" s="16">
        <v>-12.3215</v>
      </c>
      <c r="G76" s="13">
        <v>6388.3291677101497</v>
      </c>
      <c r="H76" s="8">
        <v>45163</v>
      </c>
      <c r="I76" s="14">
        <v>1110.6576</v>
      </c>
      <c r="J76" s="8">
        <v>45163</v>
      </c>
    </row>
    <row r="77" spans="1:10" x14ac:dyDescent="0.25">
      <c r="A77" s="7">
        <v>74</v>
      </c>
      <c r="B77" s="8">
        <v>45194</v>
      </c>
      <c r="C77" s="9" t="s">
        <v>244</v>
      </c>
      <c r="D77" s="10" t="s">
        <v>24</v>
      </c>
      <c r="E77" s="15">
        <v>-16436.648945000001</v>
      </c>
      <c r="F77" s="16">
        <v>-14.81</v>
      </c>
      <c r="G77" s="13">
        <v>6373.5191677101502</v>
      </c>
      <c r="H77" s="8">
        <v>45194</v>
      </c>
      <c r="I77" s="14">
        <v>1109.8344999999999</v>
      </c>
      <c r="J77" s="8">
        <v>45194</v>
      </c>
    </row>
    <row r="78" spans="1:10" hidden="1" x14ac:dyDescent="0.25">
      <c r="A78" s="7">
        <v>75</v>
      </c>
      <c r="B78" s="8">
        <v>45194</v>
      </c>
      <c r="C78" s="9" t="s">
        <v>245</v>
      </c>
      <c r="D78" s="10" t="s">
        <v>24</v>
      </c>
      <c r="E78" s="15">
        <v>-13570.057414950001</v>
      </c>
      <c r="F78" s="16">
        <v>-12.2271</v>
      </c>
      <c r="G78" s="13">
        <v>6361.2920677101501</v>
      </c>
      <c r="H78" s="8">
        <v>45194</v>
      </c>
      <c r="I78" s="14">
        <v>1109.8344999999999</v>
      </c>
      <c r="J78" s="8">
        <v>45194</v>
      </c>
    </row>
    <row r="79" spans="1:10" x14ac:dyDescent="0.25">
      <c r="A79" s="7">
        <v>76</v>
      </c>
      <c r="B79" s="8">
        <v>45224</v>
      </c>
      <c r="C79" s="9" t="s">
        <v>246</v>
      </c>
      <c r="D79" s="10" t="s">
        <v>24</v>
      </c>
      <c r="E79" s="15">
        <v>-16792.024851009999</v>
      </c>
      <c r="F79" s="16">
        <v>-15.3371</v>
      </c>
      <c r="G79" s="13">
        <v>6345.9549677101504</v>
      </c>
      <c r="H79" s="8">
        <v>45224</v>
      </c>
      <c r="I79" s="14">
        <v>1094.8631</v>
      </c>
      <c r="J79" s="8">
        <v>45224</v>
      </c>
    </row>
    <row r="80" spans="1:10" hidden="1" x14ac:dyDescent="0.25">
      <c r="A80" s="7">
        <v>77</v>
      </c>
      <c r="B80" s="8">
        <v>45224</v>
      </c>
      <c r="C80" s="9" t="s">
        <v>247</v>
      </c>
      <c r="D80" s="10" t="s">
        <v>24</v>
      </c>
      <c r="E80" s="15">
        <v>-13863.48503113</v>
      </c>
      <c r="F80" s="16">
        <v>-12.6623</v>
      </c>
      <c r="G80" s="13">
        <v>6333.2926677101505</v>
      </c>
      <c r="H80" s="8">
        <v>45224</v>
      </c>
      <c r="I80" s="14">
        <v>1094.8631</v>
      </c>
      <c r="J80" s="8">
        <v>45224</v>
      </c>
    </row>
    <row r="81" spans="1:10" x14ac:dyDescent="0.25">
      <c r="A81" s="7">
        <v>78</v>
      </c>
      <c r="B81" s="8">
        <v>45255</v>
      </c>
      <c r="C81" s="9" t="s">
        <v>248</v>
      </c>
      <c r="D81" s="10" t="s">
        <v>24</v>
      </c>
      <c r="E81" s="15">
        <v>-17123.045169720001</v>
      </c>
      <c r="F81" s="16">
        <v>-15.541399999999999</v>
      </c>
      <c r="G81" s="13">
        <v>6317.7512677101504</v>
      </c>
      <c r="H81" s="8">
        <v>45257</v>
      </c>
      <c r="I81" s="14">
        <v>1101.7698</v>
      </c>
      <c r="J81" s="8">
        <v>45255</v>
      </c>
    </row>
    <row r="82" spans="1:10" hidden="1" x14ac:dyDescent="0.25">
      <c r="A82" s="7">
        <v>79</v>
      </c>
      <c r="B82" s="8">
        <v>45255</v>
      </c>
      <c r="C82" s="9" t="s">
        <v>249</v>
      </c>
      <c r="D82" s="10" t="s">
        <v>24</v>
      </c>
      <c r="E82" s="15">
        <v>-14136.8083038</v>
      </c>
      <c r="F82" s="16">
        <v>-12.831</v>
      </c>
      <c r="G82" s="13">
        <v>6304.9202677101503</v>
      </c>
      <c r="H82" s="8">
        <v>45257</v>
      </c>
      <c r="I82" s="14">
        <v>1101.7698</v>
      </c>
      <c r="J82" s="8">
        <v>45255</v>
      </c>
    </row>
    <row r="83" spans="1:10" x14ac:dyDescent="0.25">
      <c r="A83" s="7">
        <v>80</v>
      </c>
      <c r="B83" s="8">
        <v>45285</v>
      </c>
      <c r="C83" s="9" t="s">
        <v>250</v>
      </c>
      <c r="D83" s="10" t="s">
        <v>24</v>
      </c>
      <c r="E83" s="15">
        <v>-16928.392523580002</v>
      </c>
      <c r="F83" s="16">
        <v>-15.2613</v>
      </c>
      <c r="G83" s="13">
        <v>6289.6589677101501</v>
      </c>
      <c r="H83" s="8">
        <v>45287</v>
      </c>
      <c r="I83" s="14">
        <v>1109.2366</v>
      </c>
      <c r="J83" s="8">
        <v>45285</v>
      </c>
    </row>
    <row r="84" spans="1:10" hidden="1" x14ac:dyDescent="0.25">
      <c r="A84" s="7">
        <v>81</v>
      </c>
      <c r="B84" s="8">
        <v>45285</v>
      </c>
      <c r="C84" s="9" t="s">
        <v>251</v>
      </c>
      <c r="D84" s="10" t="s">
        <v>24</v>
      </c>
      <c r="E84" s="15">
        <v>-13976.15931268</v>
      </c>
      <c r="F84" s="16">
        <v>-12.5998</v>
      </c>
      <c r="G84" s="13">
        <v>6277.0591677101502</v>
      </c>
      <c r="H84" s="8">
        <v>45287</v>
      </c>
      <c r="I84" s="14">
        <v>1109.2366</v>
      </c>
      <c r="J84" s="8">
        <v>45285</v>
      </c>
    </row>
    <row r="85" spans="1:10" x14ac:dyDescent="0.25">
      <c r="A85" s="7">
        <v>82</v>
      </c>
      <c r="B85" s="8">
        <v>45316</v>
      </c>
      <c r="C85" s="9" t="s">
        <v>252</v>
      </c>
      <c r="D85" s="10" t="s">
        <v>24</v>
      </c>
      <c r="E85" s="15">
        <v>-17021.088256480001</v>
      </c>
      <c r="F85" s="16">
        <v>-15.2614</v>
      </c>
      <c r="G85" s="13">
        <v>6261.7977677101499</v>
      </c>
      <c r="H85" s="8">
        <v>45316</v>
      </c>
      <c r="I85" s="14">
        <v>1115.3032000000001</v>
      </c>
      <c r="J85" s="8">
        <v>45316</v>
      </c>
    </row>
    <row r="86" spans="1:10" hidden="1" x14ac:dyDescent="0.25">
      <c r="A86" s="7">
        <v>83</v>
      </c>
      <c r="B86" s="8">
        <v>45316</v>
      </c>
      <c r="C86" s="9" t="s">
        <v>253</v>
      </c>
      <c r="D86" s="10" t="s">
        <v>24</v>
      </c>
      <c r="E86" s="15">
        <v>-14052.59725936</v>
      </c>
      <c r="F86" s="16">
        <v>-12.5998</v>
      </c>
      <c r="G86" s="13">
        <v>6249.1979677101499</v>
      </c>
      <c r="H86" s="8">
        <v>45316</v>
      </c>
      <c r="I86" s="14">
        <v>1115.3032000000001</v>
      </c>
      <c r="J86" s="8">
        <v>45316</v>
      </c>
    </row>
    <row r="87" spans="1:10" x14ac:dyDescent="0.25">
      <c r="A87" s="7">
        <v>84</v>
      </c>
      <c r="B87" s="8">
        <v>45347</v>
      </c>
      <c r="C87" s="9" t="s">
        <v>254</v>
      </c>
      <c r="D87" s="10" t="s">
        <v>24</v>
      </c>
      <c r="E87" s="15">
        <v>-16952.0160048</v>
      </c>
      <c r="F87" s="16">
        <v>-15.108000000000001</v>
      </c>
      <c r="G87" s="13">
        <v>6234.0899677101497</v>
      </c>
      <c r="H87" s="8">
        <v>45348</v>
      </c>
      <c r="I87" s="14">
        <v>1122.0555999999999</v>
      </c>
      <c r="J87" s="8">
        <v>45347</v>
      </c>
    </row>
    <row r="88" spans="1:10" hidden="1" x14ac:dyDescent="0.25">
      <c r="A88" s="7">
        <v>85</v>
      </c>
      <c r="B88" s="8">
        <v>45347</v>
      </c>
      <c r="C88" s="9" t="s">
        <v>255</v>
      </c>
      <c r="D88" s="10" t="s">
        <v>24</v>
      </c>
      <c r="E88" s="15">
        <v>-13995.623909919999</v>
      </c>
      <c r="F88" s="16">
        <v>-12.4732</v>
      </c>
      <c r="G88" s="13">
        <v>6221.6167677101503</v>
      </c>
      <c r="H88" s="8">
        <v>45348</v>
      </c>
      <c r="I88" s="14">
        <v>1122.0555999999999</v>
      </c>
      <c r="J88" s="8">
        <v>45347</v>
      </c>
    </row>
    <row r="89" spans="1:10" x14ac:dyDescent="0.25">
      <c r="A89" s="7">
        <v>86</v>
      </c>
      <c r="B89" s="8">
        <v>45376</v>
      </c>
      <c r="C89" s="9" t="s">
        <v>256</v>
      </c>
      <c r="D89" s="10" t="s">
        <v>24</v>
      </c>
      <c r="E89" s="15">
        <v>-16945.060924919999</v>
      </c>
      <c r="F89" s="16">
        <v>-15.086600000000001</v>
      </c>
      <c r="G89" s="13">
        <v>6206.5301677101497</v>
      </c>
      <c r="H89" s="8">
        <v>45378</v>
      </c>
      <c r="I89" s="14">
        <v>1123.1862000000001</v>
      </c>
      <c r="J89" s="8">
        <v>45376</v>
      </c>
    </row>
    <row r="90" spans="1:10" hidden="1" x14ac:dyDescent="0.25">
      <c r="A90" s="7">
        <v>87</v>
      </c>
      <c r="B90" s="8">
        <v>45376</v>
      </c>
      <c r="C90" s="9" t="s">
        <v>257</v>
      </c>
      <c r="D90" s="10" t="s">
        <v>24</v>
      </c>
      <c r="E90" s="15">
        <v>-13989.8457141</v>
      </c>
      <c r="F90" s="16">
        <v>-12.455500000000001</v>
      </c>
      <c r="G90" s="13">
        <v>6194.0746677101497</v>
      </c>
      <c r="H90" s="8">
        <v>45378</v>
      </c>
      <c r="I90" s="14">
        <v>1123.1862000000001</v>
      </c>
      <c r="J90" s="8">
        <v>45376</v>
      </c>
    </row>
    <row r="91" spans="1:10" x14ac:dyDescent="0.25">
      <c r="A91" s="7">
        <v>88</v>
      </c>
      <c r="B91" s="8">
        <v>45407</v>
      </c>
      <c r="C91" s="9" t="s">
        <v>258</v>
      </c>
      <c r="D91" s="10" t="s">
        <v>24</v>
      </c>
      <c r="E91" s="15">
        <v>-6887.33</v>
      </c>
      <c r="F91" s="16">
        <v>-6.1502999999999997</v>
      </c>
      <c r="G91" s="13">
        <v>6187.9243677101504</v>
      </c>
      <c r="H91" s="8">
        <v>45414</v>
      </c>
      <c r="I91" s="14">
        <v>1119.845</v>
      </c>
      <c r="J91" s="8">
        <v>45416</v>
      </c>
    </row>
    <row r="92" spans="1:10" x14ac:dyDescent="0.25">
      <c r="A92" s="7">
        <v>89</v>
      </c>
      <c r="B92" s="8">
        <v>45437</v>
      </c>
      <c r="C92" s="9" t="s">
        <v>259</v>
      </c>
      <c r="D92" s="10" t="s">
        <v>24</v>
      </c>
      <c r="E92" s="15">
        <v>-6887.33</v>
      </c>
      <c r="F92" s="16">
        <v>-6.0926</v>
      </c>
      <c r="G92" s="13">
        <v>6181.8317677101504</v>
      </c>
      <c r="H92" s="8">
        <v>45439</v>
      </c>
      <c r="I92" s="14">
        <v>1130.4413999999999</v>
      </c>
      <c r="J92" s="8">
        <v>45441</v>
      </c>
    </row>
    <row r="93" spans="1:10" hidden="1" x14ac:dyDescent="0.25">
      <c r="A93" s="7">
        <v>90</v>
      </c>
      <c r="B93" s="8">
        <v>45407</v>
      </c>
      <c r="C93" s="9" t="s">
        <v>260</v>
      </c>
      <c r="D93" s="10" t="s">
        <v>24</v>
      </c>
      <c r="E93" s="15">
        <v>-12500</v>
      </c>
      <c r="F93" s="16">
        <v>-11.0748</v>
      </c>
      <c r="G93" s="13">
        <v>6170.7569677101501</v>
      </c>
      <c r="H93" s="8">
        <v>45450</v>
      </c>
      <c r="I93" s="14">
        <v>1128.6854000000001</v>
      </c>
      <c r="J93" s="8">
        <v>45454</v>
      </c>
    </row>
    <row r="94" spans="1:10" hidden="1" x14ac:dyDescent="0.25">
      <c r="A94" s="7">
        <v>91</v>
      </c>
      <c r="B94" s="8">
        <v>45437</v>
      </c>
      <c r="C94" s="9" t="s">
        <v>261</v>
      </c>
      <c r="D94" s="10" t="s">
        <v>24</v>
      </c>
      <c r="E94" s="15">
        <v>-12500</v>
      </c>
      <c r="F94" s="16">
        <v>-11.0748</v>
      </c>
      <c r="G94" s="13">
        <v>6159.6821677101498</v>
      </c>
      <c r="H94" s="8">
        <v>45450</v>
      </c>
      <c r="I94" s="14">
        <v>1128.6854000000001</v>
      </c>
      <c r="J94" s="8">
        <v>45454</v>
      </c>
    </row>
    <row r="95" spans="1:10" hidden="1" x14ac:dyDescent="0.25">
      <c r="A95" s="7">
        <v>92</v>
      </c>
      <c r="B95" s="8">
        <v>45468</v>
      </c>
      <c r="C95" s="9" t="s">
        <v>262</v>
      </c>
      <c r="D95" s="10" t="s">
        <v>24</v>
      </c>
      <c r="E95" s="15">
        <v>-12500</v>
      </c>
      <c r="F95" s="16">
        <v>-11.0677</v>
      </c>
      <c r="G95" s="13">
        <v>6148.6144677101502</v>
      </c>
      <c r="H95" s="8">
        <v>45469</v>
      </c>
      <c r="I95" s="14">
        <v>1129.4149</v>
      </c>
      <c r="J95" s="8">
        <v>45471</v>
      </c>
    </row>
    <row r="96" spans="1:10" x14ac:dyDescent="0.25">
      <c r="A96" s="7">
        <v>93</v>
      </c>
      <c r="B96" s="8">
        <v>45468</v>
      </c>
      <c r="C96" s="9" t="s">
        <v>263</v>
      </c>
      <c r="D96" s="10" t="s">
        <v>24</v>
      </c>
      <c r="E96" s="15">
        <v>-6887.33</v>
      </c>
      <c r="F96" s="16">
        <v>-6.0906000000000002</v>
      </c>
      <c r="G96" s="13">
        <v>6142.5238677101497</v>
      </c>
      <c r="H96" s="8">
        <v>45476</v>
      </c>
      <c r="I96" s="14">
        <v>1130.8181999999999</v>
      </c>
      <c r="J96" s="8">
        <v>45478</v>
      </c>
    </row>
    <row r="97" spans="1:10" x14ac:dyDescent="0.25">
      <c r="A97" s="7">
        <v>94</v>
      </c>
      <c r="B97" s="8">
        <v>45498</v>
      </c>
      <c r="C97" s="9" t="s">
        <v>264</v>
      </c>
      <c r="D97" s="10" t="s">
        <v>24</v>
      </c>
      <c r="E97" s="15">
        <v>-6887.33</v>
      </c>
      <c r="F97" s="16">
        <v>-6.0740999999999996</v>
      </c>
      <c r="G97" s="13">
        <v>6136.4497677101499</v>
      </c>
      <c r="H97" s="8">
        <v>45499</v>
      </c>
      <c r="I97" s="14">
        <v>1133.8837000000001</v>
      </c>
      <c r="J97" s="8">
        <v>45503</v>
      </c>
    </row>
    <row r="98" spans="1:10" hidden="1" x14ac:dyDescent="0.25">
      <c r="A98" s="7">
        <v>95</v>
      </c>
      <c r="B98" s="8">
        <v>45498</v>
      </c>
      <c r="C98" s="9" t="s">
        <v>265</v>
      </c>
      <c r="D98" s="10" t="s">
        <v>24</v>
      </c>
      <c r="E98" s="15">
        <v>-12500</v>
      </c>
      <c r="F98" s="16">
        <v>-11.0115</v>
      </c>
      <c r="G98" s="13">
        <v>6125.4382677101503</v>
      </c>
      <c r="H98" s="8">
        <v>45502</v>
      </c>
      <c r="I98" s="14">
        <v>1135.1795</v>
      </c>
      <c r="J98" s="8">
        <v>45504</v>
      </c>
    </row>
    <row r="99" spans="1:10" hidden="1" x14ac:dyDescent="0.25">
      <c r="A99" s="7">
        <v>96</v>
      </c>
      <c r="B99" s="8">
        <v>45529</v>
      </c>
      <c r="C99" s="9" t="s">
        <v>266</v>
      </c>
      <c r="D99" s="10" t="s">
        <v>24</v>
      </c>
      <c r="E99" s="15">
        <v>-12500</v>
      </c>
      <c r="F99" s="16">
        <v>-10.9625</v>
      </c>
      <c r="G99" s="13">
        <v>6114.4757677101497</v>
      </c>
      <c r="H99" s="8">
        <v>45530</v>
      </c>
      <c r="I99" s="14">
        <v>1140.2551000000001</v>
      </c>
      <c r="J99" s="8">
        <v>45532</v>
      </c>
    </row>
    <row r="100" spans="1:10" x14ac:dyDescent="0.25">
      <c r="A100" s="7">
        <v>97</v>
      </c>
      <c r="B100" s="8">
        <v>45529</v>
      </c>
      <c r="C100" s="9" t="s">
        <v>267</v>
      </c>
      <c r="D100" s="10" t="s">
        <v>24</v>
      </c>
      <c r="E100" s="15">
        <v>-6887.33</v>
      </c>
      <c r="F100" s="16">
        <v>-6.0438000000000001</v>
      </c>
      <c r="G100" s="13">
        <v>6108.4319677101503</v>
      </c>
      <c r="H100" s="8">
        <v>45531</v>
      </c>
      <c r="I100" s="14">
        <v>1139.5693000000001</v>
      </c>
      <c r="J100" s="8">
        <v>45533</v>
      </c>
    </row>
    <row r="101" spans="1:10" x14ac:dyDescent="0.25">
      <c r="A101" s="7">
        <v>98</v>
      </c>
      <c r="B101" s="8">
        <v>45560</v>
      </c>
      <c r="C101" s="9" t="s">
        <v>268</v>
      </c>
      <c r="D101" s="10" t="s">
        <v>24</v>
      </c>
      <c r="E101" s="15">
        <v>-6887.33</v>
      </c>
      <c r="F101" s="16">
        <v>-5.9897</v>
      </c>
      <c r="G101" s="13">
        <v>6102.4422677101502</v>
      </c>
      <c r="H101" s="8">
        <v>45561</v>
      </c>
      <c r="I101" s="14">
        <v>1149.8605</v>
      </c>
      <c r="J101" s="8">
        <v>45563</v>
      </c>
    </row>
    <row r="102" spans="1:10" hidden="1" x14ac:dyDescent="0.25">
      <c r="A102" s="7">
        <v>99</v>
      </c>
      <c r="B102" s="8">
        <v>45560</v>
      </c>
      <c r="C102" s="9" t="s">
        <v>269</v>
      </c>
      <c r="D102" s="10" t="s">
        <v>24</v>
      </c>
      <c r="E102" s="15">
        <v>-12500</v>
      </c>
      <c r="F102" s="16">
        <v>-10.870900000000001</v>
      </c>
      <c r="G102" s="13">
        <v>6091.5713677101503</v>
      </c>
      <c r="H102" s="8">
        <v>45561</v>
      </c>
      <c r="I102" s="14">
        <v>1149.8605</v>
      </c>
      <c r="J102" s="8">
        <v>45563</v>
      </c>
    </row>
    <row r="103" spans="1:10" ht="0" hidden="1" customHeight="1" x14ac:dyDescent="0.25"/>
  </sheetData>
  <autoFilter ref="A3:K102" xr:uid="{00000000-0001-0000-0400-000000000000}">
    <filterColumn colId="2">
      <filters>
        <filter val="TABARRU tahun ke 10 bulan ke 1"/>
        <filter val="TABARRU tahun ke 10 bulan ke 10"/>
        <filter val="TABARRU tahun ke 10 bulan ke 11"/>
        <filter val="TABARRU tahun ke 10 bulan ke 12"/>
        <filter val="TABARRU tahun ke 10 bulan ke 2"/>
        <filter val="TABARRU tahun ke 10 bulan ke 3"/>
        <filter val="TABARRU tahun ke 10 bulan ke 4"/>
        <filter val="TABARRU tahun ke 10 bulan ke 5"/>
        <filter val="TABARRU tahun ke 10 bulan ke 6"/>
        <filter val="TABARRU tahun ke 10 bulan ke 7"/>
        <filter val="TABARRU tahun ke 10 bulan ke 8"/>
        <filter val="TABARRU tahun ke 10 bulan ke 9"/>
        <filter val="TABARRU tahun ke 11 bulan ke 1"/>
        <filter val="TABARRU tahun ke 7 bulan ke 1"/>
        <filter val="TABARRU tahun ke 7 bulan ke 10"/>
        <filter val="TABARRU tahun ke 7 bulan ke 11"/>
        <filter val="TABARRU tahun ke 7 bulan ke 12"/>
        <filter val="TABARRU tahun ke 7 bulan ke 2"/>
        <filter val="TABARRU tahun ke 7 bulan ke 3"/>
        <filter val="TABARRU tahun ke 7 bulan ke 4"/>
        <filter val="TABARRU tahun ke 7 bulan ke 5"/>
        <filter val="TABARRU tahun ke 7 bulan ke 6"/>
        <filter val="TABARRU tahun ke 7 bulan ke 7"/>
        <filter val="TABARRU tahun ke 7 bulan ke 8"/>
        <filter val="TABARRU tahun ke 7 bulan ke 9"/>
        <filter val="TABARRU tahun ke 8 bulan ke 1"/>
        <filter val="TABARRU tahun ke 8 bulan ke 10"/>
        <filter val="TABARRU tahun ke 8 bulan ke 12"/>
        <filter val="TABARRU tahun ke 8 bulan ke 2"/>
        <filter val="TABARRU tahun ke 8 bulan ke 3"/>
        <filter val="TABARRU tahun ke 8 bulan ke 4"/>
        <filter val="TABARRU tahun ke 8 bulan ke 5"/>
        <filter val="TABARRU tahun ke 8 bulan ke 6"/>
        <filter val="TABARRU tahun ke 8 bulan ke 7"/>
        <filter val="TABARRU tahun ke 8 bulan ke 8"/>
        <filter val="TABARRU tahun ke 8 bulan ke 9"/>
        <filter val="TABARRU tahun ke 9 bulan ke 1"/>
        <filter val="TABARRU tahun ke 9 bulan ke 10"/>
        <filter val="TABARRU tahun ke 9 bulan ke 11"/>
        <filter val="TABARRU tahun ke 9 bulan ke 12"/>
        <filter val="TABARRU tahun ke 9 bulan ke 2"/>
        <filter val="TABARRU tahun ke 9 bulan ke 3"/>
        <filter val="TABARRU tahun ke 9 bulan ke 5"/>
        <filter val="TABARRU tahun ke 9 bulan ke 6"/>
        <filter val="TABARRU tahun ke 9 bulan ke 7"/>
        <filter val="TABARRU tahun ke 9 bulan ke 8"/>
        <filter val="TABARRU tahun ke 9 bulan ke 9"/>
      </filters>
    </filterColumn>
  </autoFilter>
  <mergeCells count="4">
    <mergeCell ref="A1:G1"/>
    <mergeCell ref="I1:K1"/>
    <mergeCell ref="A2:B2"/>
    <mergeCell ref="C2:H2"/>
  </mergeCells>
  <pageMargins left="1" right="1" top="1" bottom="1" header="1" footer="1"/>
  <pageSetup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O104"/>
  <sheetViews>
    <sheetView showGridLines="0" tabSelected="1" workbookViewId="0">
      <pane ySplit="3" topLeftCell="A69" activePane="bottomLeft" state="frozen"/>
      <selection pane="bottomLeft" activeCell="R100" sqref="R100"/>
    </sheetView>
  </sheetViews>
  <sheetFormatPr defaultRowHeight="15" x14ac:dyDescent="0.25"/>
  <cols>
    <col min="1" max="1" width="5.42578125" customWidth="1"/>
    <col min="2" max="2" width="10.28515625" customWidth="1"/>
    <col min="3" max="3" width="31" customWidth="1"/>
    <col min="4" max="4" width="5" customWidth="1"/>
    <col min="5" max="5" width="14" customWidth="1"/>
    <col min="6" max="6" width="7.85546875" customWidth="1"/>
    <col min="7" max="7" width="10.28515625" customWidth="1"/>
    <col min="8" max="8" width="12.140625" customWidth="1"/>
    <col min="9" max="9" width="10.140625" customWidth="1"/>
    <col min="10" max="10" width="12" customWidth="1"/>
    <col min="11" max="11" width="0" hidden="1" customWidth="1"/>
    <col min="13" max="13" width="14.28515625" style="23" customWidth="1"/>
    <col min="14" max="14" width="9.85546875" style="23" bestFit="1" customWidth="1"/>
    <col min="15" max="15" width="9.140625" style="23"/>
  </cols>
  <sheetData>
    <row r="1" spans="1:15" ht="30.95" customHeight="1" x14ac:dyDescent="0.25">
      <c r="A1" s="20" t="s">
        <v>6</v>
      </c>
      <c r="B1" s="18"/>
      <c r="C1" s="18"/>
      <c r="D1" s="18"/>
      <c r="E1" s="18"/>
      <c r="F1" s="18"/>
      <c r="G1" s="18"/>
      <c r="H1" s="1" t="s">
        <v>7</v>
      </c>
      <c r="I1" s="18"/>
      <c r="J1" s="18"/>
      <c r="K1" s="18"/>
    </row>
    <row r="2" spans="1:15" ht="88.5" customHeight="1" x14ac:dyDescent="0.25">
      <c r="A2" s="21" t="s">
        <v>8</v>
      </c>
      <c r="B2" s="18"/>
      <c r="C2" s="22" t="s">
        <v>270</v>
      </c>
      <c r="D2" s="18"/>
      <c r="E2" s="18"/>
      <c r="F2" s="18"/>
      <c r="G2" s="18"/>
      <c r="H2" s="18"/>
      <c r="I2" s="3" t="s">
        <v>7</v>
      </c>
      <c r="J2" s="2" t="s">
        <v>7</v>
      </c>
    </row>
    <row r="3" spans="1:15" ht="19.5" x14ac:dyDescent="0.25">
      <c r="A3" s="4" t="s">
        <v>10</v>
      </c>
      <c r="B3" s="5" t="s">
        <v>11</v>
      </c>
      <c r="C3" s="6" t="s">
        <v>12</v>
      </c>
      <c r="D3" s="5" t="s">
        <v>13</v>
      </c>
      <c r="E3" s="4" t="s">
        <v>14</v>
      </c>
      <c r="F3" s="4" t="s">
        <v>15</v>
      </c>
      <c r="G3" s="4" t="s">
        <v>16</v>
      </c>
      <c r="H3" s="5" t="s">
        <v>17</v>
      </c>
      <c r="I3" s="4" t="s">
        <v>18</v>
      </c>
      <c r="J3" s="5" t="s">
        <v>19</v>
      </c>
      <c r="L3" t="s">
        <v>271</v>
      </c>
      <c r="M3" s="23" t="s">
        <v>272</v>
      </c>
      <c r="N3" s="24" t="s">
        <v>273</v>
      </c>
    </row>
    <row r="4" spans="1:15" hidden="1" x14ac:dyDescent="0.25">
      <c r="A4" s="7">
        <v>1</v>
      </c>
      <c r="B4" s="8">
        <v>44081</v>
      </c>
      <c r="C4" s="9" t="s">
        <v>64</v>
      </c>
      <c r="D4" s="10" t="s">
        <v>21</v>
      </c>
      <c r="E4" s="11">
        <v>5761763.9000000004</v>
      </c>
      <c r="F4" s="12">
        <v>5761.7638999999999</v>
      </c>
      <c r="G4" s="13">
        <v>5761.7638999999999</v>
      </c>
      <c r="H4" s="8">
        <v>44078</v>
      </c>
      <c r="I4" s="14">
        <v>1000</v>
      </c>
      <c r="J4" s="8">
        <v>44081</v>
      </c>
      <c r="M4"/>
      <c r="N4"/>
      <c r="O4"/>
    </row>
    <row r="5" spans="1:15" x14ac:dyDescent="0.25">
      <c r="A5" s="7">
        <v>2</v>
      </c>
      <c r="B5" s="8">
        <v>44099</v>
      </c>
      <c r="C5" s="9" t="s">
        <v>176</v>
      </c>
      <c r="D5" s="10" t="s">
        <v>24</v>
      </c>
      <c r="E5" s="15">
        <v>-9232.4629943700002</v>
      </c>
      <c r="F5" s="16">
        <v>-9.9140999999999995</v>
      </c>
      <c r="G5" s="13">
        <v>5751.8498</v>
      </c>
      <c r="H5" s="8">
        <v>44104</v>
      </c>
      <c r="I5" s="14">
        <v>931.24570000000006</v>
      </c>
      <c r="J5" s="8">
        <v>44099</v>
      </c>
    </row>
    <row r="6" spans="1:15" hidden="1" x14ac:dyDescent="0.25">
      <c r="A6" s="7">
        <v>3</v>
      </c>
      <c r="B6" s="8">
        <v>44099</v>
      </c>
      <c r="C6" s="9" t="s">
        <v>177</v>
      </c>
      <c r="D6" s="10" t="s">
        <v>24</v>
      </c>
      <c r="E6" s="15">
        <v>-11001.45732609</v>
      </c>
      <c r="F6" s="16">
        <v>-11.813700000000001</v>
      </c>
      <c r="G6" s="13">
        <v>5740.0361000000003</v>
      </c>
      <c r="H6" s="8">
        <v>44104</v>
      </c>
      <c r="I6" s="14">
        <v>931.24570000000006</v>
      </c>
      <c r="J6" s="8">
        <v>44099</v>
      </c>
      <c r="M6"/>
      <c r="N6"/>
      <c r="O6"/>
    </row>
    <row r="7" spans="1:15" x14ac:dyDescent="0.25">
      <c r="A7" s="7">
        <v>4</v>
      </c>
      <c r="B7" s="8">
        <v>44129</v>
      </c>
      <c r="C7" s="9" t="s">
        <v>178</v>
      </c>
      <c r="D7" s="10" t="s">
        <v>24</v>
      </c>
      <c r="E7" s="15">
        <v>-9470.1492685100002</v>
      </c>
      <c r="F7" s="16">
        <v>-9.6407000000000007</v>
      </c>
      <c r="G7" s="13">
        <v>5730.3954000000003</v>
      </c>
      <c r="H7" s="8">
        <v>44130</v>
      </c>
      <c r="I7" s="14">
        <v>982.30930000000001</v>
      </c>
      <c r="J7" s="8">
        <v>44129</v>
      </c>
    </row>
    <row r="8" spans="1:15" hidden="1" x14ac:dyDescent="0.25">
      <c r="A8" s="7">
        <v>5</v>
      </c>
      <c r="B8" s="8">
        <v>44129</v>
      </c>
      <c r="C8" s="9" t="s">
        <v>179</v>
      </c>
      <c r="D8" s="10" t="s">
        <v>24</v>
      </c>
      <c r="E8" s="15">
        <v>-11284.67100747</v>
      </c>
      <c r="F8" s="16">
        <v>-11.4879</v>
      </c>
      <c r="G8" s="13">
        <v>5718.9075000000003</v>
      </c>
      <c r="H8" s="8">
        <v>44130</v>
      </c>
      <c r="I8" s="14">
        <v>982.30930000000001</v>
      </c>
      <c r="J8" s="8">
        <v>44129</v>
      </c>
      <c r="M8"/>
      <c r="N8"/>
      <c r="O8"/>
    </row>
    <row r="9" spans="1:15" hidden="1" x14ac:dyDescent="0.25">
      <c r="A9" s="7">
        <v>6</v>
      </c>
      <c r="B9" s="8">
        <v>44160</v>
      </c>
      <c r="C9" s="9" t="s">
        <v>170</v>
      </c>
      <c r="D9" s="10" t="s">
        <v>21</v>
      </c>
      <c r="E9" s="11">
        <v>99999.989190990003</v>
      </c>
      <c r="F9" s="12">
        <v>106.61490000000001</v>
      </c>
      <c r="G9" s="13">
        <v>5825.5223999999998</v>
      </c>
      <c r="H9" s="8">
        <v>44102</v>
      </c>
      <c r="I9" s="14">
        <v>937.95510000000002</v>
      </c>
      <c r="J9" s="8">
        <v>44160</v>
      </c>
      <c r="M9"/>
      <c r="N9"/>
      <c r="O9"/>
    </row>
    <row r="10" spans="1:15" hidden="1" x14ac:dyDescent="0.25">
      <c r="A10" s="7">
        <v>7</v>
      </c>
      <c r="B10" s="8">
        <v>44160</v>
      </c>
      <c r="C10" s="9" t="s">
        <v>171</v>
      </c>
      <c r="D10" s="10" t="s">
        <v>21</v>
      </c>
      <c r="E10" s="11">
        <v>47500.015969710003</v>
      </c>
      <c r="F10" s="12">
        <v>50.642099999999999</v>
      </c>
      <c r="G10" s="13">
        <v>5876.1644999999999</v>
      </c>
      <c r="H10" s="8">
        <v>44102</v>
      </c>
      <c r="I10" s="14">
        <v>937.95510000000002</v>
      </c>
      <c r="J10" s="8">
        <v>44160</v>
      </c>
      <c r="M10"/>
      <c r="N10"/>
      <c r="O10"/>
    </row>
    <row r="11" spans="1:15" x14ac:dyDescent="0.25">
      <c r="A11" s="7">
        <v>8</v>
      </c>
      <c r="B11" s="8">
        <v>44160</v>
      </c>
      <c r="C11" s="9" t="s">
        <v>180</v>
      </c>
      <c r="D11" s="10" t="s">
        <v>24</v>
      </c>
      <c r="E11" s="15">
        <v>-9777.6451710000001</v>
      </c>
      <c r="F11" s="16">
        <v>-9.1620000000000008</v>
      </c>
      <c r="G11" s="13">
        <v>5867.0024999999996</v>
      </c>
      <c r="H11" s="8">
        <v>44160</v>
      </c>
      <c r="I11" s="14">
        <v>1067.1955</v>
      </c>
      <c r="J11" s="8">
        <v>44160</v>
      </c>
    </row>
    <row r="12" spans="1:15" hidden="1" x14ac:dyDescent="0.25">
      <c r="A12" s="7">
        <v>9</v>
      </c>
      <c r="B12" s="8">
        <v>44160</v>
      </c>
      <c r="C12" s="9" t="s">
        <v>181</v>
      </c>
      <c r="D12" s="10" t="s">
        <v>24</v>
      </c>
      <c r="E12" s="15">
        <v>-11651.10687125</v>
      </c>
      <c r="F12" s="16">
        <v>-10.9175</v>
      </c>
      <c r="G12" s="13">
        <v>5856.085</v>
      </c>
      <c r="H12" s="8">
        <v>44160</v>
      </c>
      <c r="I12" s="14">
        <v>1067.1955</v>
      </c>
      <c r="J12" s="8">
        <v>44160</v>
      </c>
      <c r="M12"/>
      <c r="N12"/>
      <c r="O12"/>
    </row>
    <row r="13" spans="1:15" hidden="1" x14ac:dyDescent="0.25">
      <c r="A13" s="7">
        <v>10</v>
      </c>
      <c r="B13" s="8">
        <v>44190</v>
      </c>
      <c r="C13" s="9" t="s">
        <v>170</v>
      </c>
      <c r="D13" s="10" t="s">
        <v>21</v>
      </c>
      <c r="E13" s="11">
        <v>99999.964697920004</v>
      </c>
      <c r="F13" s="12">
        <v>102.2441</v>
      </c>
      <c r="G13" s="13">
        <v>5958.3290999999999</v>
      </c>
      <c r="H13" s="8">
        <v>44123</v>
      </c>
      <c r="I13" s="14">
        <v>978.05119999999999</v>
      </c>
      <c r="J13" s="8">
        <v>44190</v>
      </c>
      <c r="M13"/>
      <c r="N13"/>
      <c r="O13"/>
    </row>
    <row r="14" spans="1:15" hidden="1" x14ac:dyDescent="0.25">
      <c r="A14" s="7">
        <v>11</v>
      </c>
      <c r="B14" s="8">
        <v>44190</v>
      </c>
      <c r="C14" s="9" t="s">
        <v>171</v>
      </c>
      <c r="D14" s="10" t="s">
        <v>21</v>
      </c>
      <c r="E14" s="11">
        <v>47500.034579200001</v>
      </c>
      <c r="F14" s="12">
        <v>48.566000000000003</v>
      </c>
      <c r="G14" s="13">
        <v>6006.8950999999997</v>
      </c>
      <c r="H14" s="8">
        <v>44123</v>
      </c>
      <c r="I14" s="14">
        <v>978.05119999999999</v>
      </c>
      <c r="J14" s="8">
        <v>44190</v>
      </c>
      <c r="M14"/>
      <c r="N14"/>
      <c r="O14"/>
    </row>
    <row r="15" spans="1:15" x14ac:dyDescent="0.25">
      <c r="A15" s="7">
        <v>12</v>
      </c>
      <c r="B15" s="8">
        <v>44190</v>
      </c>
      <c r="C15" s="9" t="s">
        <v>182</v>
      </c>
      <c r="D15" s="10" t="s">
        <v>24</v>
      </c>
      <c r="E15" s="15">
        <v>-10112.456092750001</v>
      </c>
      <c r="F15" s="16">
        <v>-8.7065000000000001</v>
      </c>
      <c r="G15" s="13">
        <v>5998.1886000000004</v>
      </c>
      <c r="H15" s="8">
        <v>44193</v>
      </c>
      <c r="I15" s="14">
        <v>1161.4835</v>
      </c>
      <c r="J15" s="8">
        <v>44190</v>
      </c>
    </row>
    <row r="16" spans="1:15" hidden="1" x14ac:dyDescent="0.25">
      <c r="A16" s="7">
        <v>13</v>
      </c>
      <c r="B16" s="8">
        <v>44190</v>
      </c>
      <c r="C16" s="9" t="s">
        <v>183</v>
      </c>
      <c r="D16" s="10" t="s">
        <v>24</v>
      </c>
      <c r="E16" s="15">
        <v>-12050.1590158</v>
      </c>
      <c r="F16" s="16">
        <v>-10.3748</v>
      </c>
      <c r="G16" s="13">
        <v>5987.8137999999999</v>
      </c>
      <c r="H16" s="8">
        <v>44193</v>
      </c>
      <c r="I16" s="14">
        <v>1161.4835</v>
      </c>
      <c r="J16" s="8">
        <v>44190</v>
      </c>
      <c r="M16"/>
      <c r="N16"/>
      <c r="O16"/>
    </row>
    <row r="17" spans="1:15" x14ac:dyDescent="0.25">
      <c r="A17" s="7">
        <v>14</v>
      </c>
      <c r="B17" s="8">
        <v>44221</v>
      </c>
      <c r="C17" s="9" t="s">
        <v>184</v>
      </c>
      <c r="D17" s="10" t="s">
        <v>24</v>
      </c>
      <c r="E17" s="15">
        <v>-10464.43340951</v>
      </c>
      <c r="F17" s="16">
        <v>-8.9370999999999992</v>
      </c>
      <c r="G17" s="13">
        <v>5978.8766999999998</v>
      </c>
      <c r="H17" s="8">
        <v>44221</v>
      </c>
      <c r="I17" s="14">
        <v>1170.8981000000001</v>
      </c>
      <c r="J17" s="8">
        <v>44221</v>
      </c>
    </row>
    <row r="18" spans="1:15" hidden="1" x14ac:dyDescent="0.25">
      <c r="A18" s="7">
        <v>15</v>
      </c>
      <c r="B18" s="8">
        <v>44221</v>
      </c>
      <c r="C18" s="9" t="s">
        <v>185</v>
      </c>
      <c r="D18" s="10" t="s">
        <v>24</v>
      </c>
      <c r="E18" s="15">
        <v>-12469.596405759999</v>
      </c>
      <c r="F18" s="16">
        <v>-10.6496</v>
      </c>
      <c r="G18" s="13">
        <v>5968.2271000000001</v>
      </c>
      <c r="H18" s="8">
        <v>44221</v>
      </c>
      <c r="I18" s="14">
        <v>1170.8981000000001</v>
      </c>
      <c r="J18" s="8">
        <v>44221</v>
      </c>
      <c r="M18"/>
      <c r="N18"/>
      <c r="O18"/>
    </row>
    <row r="19" spans="1:15" x14ac:dyDescent="0.25">
      <c r="A19" s="7">
        <v>16</v>
      </c>
      <c r="B19" s="8">
        <v>44252</v>
      </c>
      <c r="C19" s="9" t="s">
        <v>186</v>
      </c>
      <c r="D19" s="10" t="s">
        <v>24</v>
      </c>
      <c r="E19" s="15">
        <v>-10202.63572867</v>
      </c>
      <c r="F19" s="16">
        <v>-8.8752999999999993</v>
      </c>
      <c r="G19" s="13">
        <v>5959.3518000000004</v>
      </c>
      <c r="H19" s="8">
        <v>44252</v>
      </c>
      <c r="I19" s="14">
        <v>1149.5539000000001</v>
      </c>
      <c r="J19" s="8">
        <v>44252</v>
      </c>
    </row>
    <row r="20" spans="1:15" hidden="1" x14ac:dyDescent="0.25">
      <c r="A20" s="7">
        <v>17</v>
      </c>
      <c r="B20" s="8">
        <v>44252</v>
      </c>
      <c r="C20" s="9" t="s">
        <v>187</v>
      </c>
      <c r="D20" s="10" t="s">
        <v>24</v>
      </c>
      <c r="E20" s="15">
        <v>-12157.56709101</v>
      </c>
      <c r="F20" s="16">
        <v>-10.575900000000001</v>
      </c>
      <c r="G20" s="13">
        <v>5948.7758999999996</v>
      </c>
      <c r="H20" s="8">
        <v>44252</v>
      </c>
      <c r="I20" s="14">
        <v>1149.5539000000001</v>
      </c>
      <c r="J20" s="8">
        <v>44252</v>
      </c>
      <c r="M20"/>
      <c r="N20"/>
      <c r="O20"/>
    </row>
    <row r="21" spans="1:15" x14ac:dyDescent="0.25">
      <c r="A21" s="7">
        <v>18</v>
      </c>
      <c r="B21" s="8">
        <v>44280</v>
      </c>
      <c r="C21" s="9" t="s">
        <v>188</v>
      </c>
      <c r="D21" s="10" t="s">
        <v>24</v>
      </c>
      <c r="E21" s="15">
        <v>-9947.6514874299992</v>
      </c>
      <c r="F21" s="16">
        <v>-9.1699000000000002</v>
      </c>
      <c r="G21" s="13">
        <v>5939.6059999999998</v>
      </c>
      <c r="H21" s="8">
        <v>44280</v>
      </c>
      <c r="I21" s="14">
        <v>1084.8157000000001</v>
      </c>
      <c r="J21" s="8">
        <v>44280</v>
      </c>
    </row>
    <row r="22" spans="1:15" hidden="1" x14ac:dyDescent="0.25">
      <c r="A22" s="7">
        <v>19</v>
      </c>
      <c r="B22" s="8">
        <v>44280</v>
      </c>
      <c r="C22" s="9" t="s">
        <v>189</v>
      </c>
      <c r="D22" s="10" t="s">
        <v>24</v>
      </c>
      <c r="E22" s="15">
        <v>-11853.67267233</v>
      </c>
      <c r="F22" s="16">
        <v>-10.9269</v>
      </c>
      <c r="G22" s="13">
        <v>5928.6791000000003</v>
      </c>
      <c r="H22" s="8">
        <v>44280</v>
      </c>
      <c r="I22" s="14">
        <v>1084.8157000000001</v>
      </c>
      <c r="J22" s="8">
        <v>44280</v>
      </c>
      <c r="M22"/>
      <c r="N22"/>
      <c r="O22"/>
    </row>
    <row r="23" spans="1:15" x14ac:dyDescent="0.25">
      <c r="A23" s="7">
        <v>20</v>
      </c>
      <c r="B23" s="8">
        <v>44311</v>
      </c>
      <c r="C23" s="9" t="s">
        <v>190</v>
      </c>
      <c r="D23" s="10" t="s">
        <v>24</v>
      </c>
      <c r="E23" s="15">
        <v>-9721.3990118399997</v>
      </c>
      <c r="F23" s="16">
        <v>-9.2523</v>
      </c>
      <c r="G23" s="13">
        <v>5919.4268000000002</v>
      </c>
      <c r="H23" s="8">
        <v>44312</v>
      </c>
      <c r="I23" s="14">
        <v>1050.7008000000001</v>
      </c>
      <c r="J23" s="8">
        <v>44311</v>
      </c>
    </row>
    <row r="24" spans="1:15" hidden="1" x14ac:dyDescent="0.25">
      <c r="A24" s="7">
        <v>21</v>
      </c>
      <c r="B24" s="8">
        <v>44311</v>
      </c>
      <c r="C24" s="9" t="s">
        <v>191</v>
      </c>
      <c r="D24" s="10" t="s">
        <v>24</v>
      </c>
      <c r="E24" s="15">
        <v>-11584.186460159999</v>
      </c>
      <c r="F24" s="16">
        <v>-11.0252</v>
      </c>
      <c r="G24" s="13">
        <v>5908.4016000000001</v>
      </c>
      <c r="H24" s="8">
        <v>44312</v>
      </c>
      <c r="I24" s="14">
        <v>1050.7008000000001</v>
      </c>
      <c r="J24" s="8">
        <v>44311</v>
      </c>
      <c r="M24"/>
      <c r="N24"/>
      <c r="O24"/>
    </row>
    <row r="25" spans="1:15" x14ac:dyDescent="0.25">
      <c r="A25" s="7">
        <v>22</v>
      </c>
      <c r="B25" s="8">
        <v>44341</v>
      </c>
      <c r="C25" s="9" t="s">
        <v>192</v>
      </c>
      <c r="D25" s="10" t="s">
        <v>24</v>
      </c>
      <c r="E25" s="15">
        <v>-9422.0134317100001</v>
      </c>
      <c r="F25" s="16">
        <v>-9.4696999999999996</v>
      </c>
      <c r="G25" s="13">
        <v>5898.9318999999996</v>
      </c>
      <c r="H25" s="8">
        <v>44341</v>
      </c>
      <c r="I25" s="14">
        <v>994.96429999999998</v>
      </c>
      <c r="J25" s="8">
        <v>44341</v>
      </c>
    </row>
    <row r="26" spans="1:15" hidden="1" x14ac:dyDescent="0.25">
      <c r="A26" s="7">
        <v>23</v>
      </c>
      <c r="B26" s="8">
        <v>44341</v>
      </c>
      <c r="C26" s="9" t="s">
        <v>193</v>
      </c>
      <c r="D26" s="10" t="s">
        <v>24</v>
      </c>
      <c r="E26" s="15">
        <v>-11227.376154060001</v>
      </c>
      <c r="F26" s="16">
        <v>-11.2842</v>
      </c>
      <c r="G26" s="13">
        <v>5887.6477000000004</v>
      </c>
      <c r="H26" s="8">
        <v>44341</v>
      </c>
      <c r="I26" s="14">
        <v>994.96429999999998</v>
      </c>
      <c r="J26" s="8">
        <v>44341</v>
      </c>
      <c r="M26"/>
      <c r="N26"/>
      <c r="O26"/>
    </row>
    <row r="27" spans="1:15" x14ac:dyDescent="0.25">
      <c r="A27" s="7">
        <v>24</v>
      </c>
      <c r="B27" s="8">
        <v>44372</v>
      </c>
      <c r="C27" s="9" t="s">
        <v>194</v>
      </c>
      <c r="D27" s="10" t="s">
        <v>24</v>
      </c>
      <c r="E27" s="15">
        <v>-9469.6177020499999</v>
      </c>
      <c r="F27" s="16">
        <v>-9.4105000000000008</v>
      </c>
      <c r="G27" s="13">
        <v>5878.2371999999996</v>
      </c>
      <c r="H27" s="8">
        <v>44372</v>
      </c>
      <c r="I27" s="14">
        <v>1006.2821</v>
      </c>
      <c r="J27" s="8">
        <v>44372</v>
      </c>
    </row>
    <row r="28" spans="1:15" hidden="1" x14ac:dyDescent="0.25">
      <c r="A28" s="7">
        <v>25</v>
      </c>
      <c r="B28" s="8">
        <v>44372</v>
      </c>
      <c r="C28" s="9" t="s">
        <v>195</v>
      </c>
      <c r="D28" s="10" t="s">
        <v>24</v>
      </c>
      <c r="E28" s="15">
        <v>-11284.14558477</v>
      </c>
      <c r="F28" s="16">
        <v>-11.213699999999999</v>
      </c>
      <c r="G28" s="13">
        <v>5867.0235000000002</v>
      </c>
      <c r="H28" s="8">
        <v>44372</v>
      </c>
      <c r="I28" s="14">
        <v>1006.2821</v>
      </c>
      <c r="J28" s="8">
        <v>44372</v>
      </c>
      <c r="M28"/>
      <c r="N28"/>
      <c r="O28"/>
    </row>
    <row r="29" spans="1:15" x14ac:dyDescent="0.25">
      <c r="A29" s="7">
        <v>26</v>
      </c>
      <c r="B29" s="8">
        <v>44402</v>
      </c>
      <c r="C29" s="9" t="s">
        <v>196</v>
      </c>
      <c r="D29" s="10" t="s">
        <v>24</v>
      </c>
      <c r="E29" s="15">
        <v>-9388.5920032499998</v>
      </c>
      <c r="F29" s="16">
        <v>-9.4474999999999998</v>
      </c>
      <c r="G29" s="13">
        <v>5857.576</v>
      </c>
      <c r="H29" s="8">
        <v>44403</v>
      </c>
      <c r="I29" s="14">
        <v>993.76469999999995</v>
      </c>
      <c r="J29" s="8">
        <v>44402</v>
      </c>
    </row>
    <row r="30" spans="1:15" hidden="1" x14ac:dyDescent="0.25">
      <c r="A30" s="7">
        <v>27</v>
      </c>
      <c r="B30" s="8">
        <v>44402</v>
      </c>
      <c r="C30" s="9" t="s">
        <v>197</v>
      </c>
      <c r="D30" s="10" t="s">
        <v>24</v>
      </c>
      <c r="E30" s="15">
        <v>-11187.504863190001</v>
      </c>
      <c r="F30" s="16">
        <v>-11.2577</v>
      </c>
      <c r="G30" s="13">
        <v>5846.3182999999999</v>
      </c>
      <c r="H30" s="8">
        <v>44403</v>
      </c>
      <c r="I30" s="14">
        <v>993.76469999999995</v>
      </c>
      <c r="J30" s="8">
        <v>44402</v>
      </c>
      <c r="M30"/>
      <c r="N30"/>
      <c r="O30"/>
    </row>
    <row r="31" spans="1:15" x14ac:dyDescent="0.25">
      <c r="A31" s="7">
        <v>28</v>
      </c>
      <c r="B31" s="8">
        <v>44433</v>
      </c>
      <c r="C31" s="9" t="s">
        <v>198</v>
      </c>
      <c r="D31" s="10" t="s">
        <v>24</v>
      </c>
      <c r="E31" s="15">
        <v>-9196.4376648300004</v>
      </c>
      <c r="F31" s="16">
        <v>-9.5043000000000006</v>
      </c>
      <c r="G31" s="13">
        <v>5836.8140000000003</v>
      </c>
      <c r="H31" s="8">
        <v>44433</v>
      </c>
      <c r="I31" s="14">
        <v>967.60810000000004</v>
      </c>
      <c r="J31" s="8">
        <v>44433</v>
      </c>
    </row>
    <row r="32" spans="1:15" hidden="1" x14ac:dyDescent="0.25">
      <c r="A32" s="7">
        <v>29</v>
      </c>
      <c r="B32" s="8">
        <v>44433</v>
      </c>
      <c r="C32" s="9" t="s">
        <v>199</v>
      </c>
      <c r="D32" s="10" t="s">
        <v>24</v>
      </c>
      <c r="E32" s="15">
        <v>-10958.548775740001</v>
      </c>
      <c r="F32" s="16">
        <v>-11.3254</v>
      </c>
      <c r="G32" s="13">
        <v>5825.4885999999997</v>
      </c>
      <c r="H32" s="8">
        <v>44433</v>
      </c>
      <c r="I32" s="14">
        <v>967.60810000000004</v>
      </c>
      <c r="J32" s="8">
        <v>44433</v>
      </c>
      <c r="M32"/>
      <c r="N32"/>
      <c r="O32"/>
    </row>
    <row r="33" spans="1:15" x14ac:dyDescent="0.25">
      <c r="A33" s="7">
        <v>30</v>
      </c>
      <c r="B33" s="8">
        <v>44464</v>
      </c>
      <c r="C33" s="9" t="s">
        <v>200</v>
      </c>
      <c r="D33" s="10" t="s">
        <v>24</v>
      </c>
      <c r="E33" s="15">
        <v>-10342.648081200001</v>
      </c>
      <c r="F33" s="16">
        <v>-10.663500000000001</v>
      </c>
      <c r="G33" s="13">
        <v>5814.8251</v>
      </c>
      <c r="H33" s="8">
        <v>44466</v>
      </c>
      <c r="I33" s="14">
        <v>969.91120000000001</v>
      </c>
      <c r="J33" s="8">
        <v>44464</v>
      </c>
    </row>
    <row r="34" spans="1:15" hidden="1" x14ac:dyDescent="0.25">
      <c r="A34" s="7">
        <v>31</v>
      </c>
      <c r="B34" s="8">
        <v>44464</v>
      </c>
      <c r="C34" s="9" t="s">
        <v>201</v>
      </c>
      <c r="D34" s="10" t="s">
        <v>24</v>
      </c>
      <c r="E34" s="15">
        <v>-10886.96224664</v>
      </c>
      <c r="F34" s="16">
        <v>-11.2247</v>
      </c>
      <c r="G34" s="13">
        <v>5803.6004000000003</v>
      </c>
      <c r="H34" s="8">
        <v>44466</v>
      </c>
      <c r="I34" s="14">
        <v>969.91120000000001</v>
      </c>
      <c r="J34" s="8">
        <v>44464</v>
      </c>
      <c r="M34"/>
      <c r="N34"/>
      <c r="O34"/>
    </row>
    <row r="35" spans="1:15" x14ac:dyDescent="0.25">
      <c r="A35" s="7">
        <v>32</v>
      </c>
      <c r="B35" s="8">
        <v>44494</v>
      </c>
      <c r="C35" s="9" t="s">
        <v>202</v>
      </c>
      <c r="D35" s="10" t="s">
        <v>24</v>
      </c>
      <c r="E35" s="15">
        <v>-10767.937458169999</v>
      </c>
      <c r="F35" s="16">
        <v>-10.501300000000001</v>
      </c>
      <c r="G35" s="13">
        <v>5793.0991000000004</v>
      </c>
      <c r="H35" s="8">
        <v>44494</v>
      </c>
      <c r="I35" s="14">
        <v>1025.3909000000001</v>
      </c>
      <c r="J35" s="8">
        <v>44494</v>
      </c>
    </row>
    <row r="36" spans="1:15" hidden="1" x14ac:dyDescent="0.25">
      <c r="A36" s="7">
        <v>33</v>
      </c>
      <c r="B36" s="8">
        <v>44494</v>
      </c>
      <c r="C36" s="9" t="s">
        <v>203</v>
      </c>
      <c r="D36" s="10" t="s">
        <v>24</v>
      </c>
      <c r="E36" s="15">
        <v>-11334.6710086</v>
      </c>
      <c r="F36" s="16">
        <v>-11.054</v>
      </c>
      <c r="G36" s="13">
        <v>5782.0451000000003</v>
      </c>
      <c r="H36" s="8">
        <v>44494</v>
      </c>
      <c r="I36" s="14">
        <v>1025.3909000000001</v>
      </c>
      <c r="J36" s="8">
        <v>44494</v>
      </c>
      <c r="M36"/>
      <c r="N36"/>
      <c r="O36"/>
    </row>
    <row r="37" spans="1:15" x14ac:dyDescent="0.25">
      <c r="A37" s="7">
        <v>34</v>
      </c>
      <c r="B37" s="8">
        <v>44525</v>
      </c>
      <c r="C37" s="9" t="s">
        <v>204</v>
      </c>
      <c r="D37" s="10" t="s">
        <v>24</v>
      </c>
      <c r="E37" s="15">
        <v>-10613.363555280001</v>
      </c>
      <c r="F37" s="16">
        <v>-10.272399999999999</v>
      </c>
      <c r="G37" s="13">
        <v>5771.7727000000004</v>
      </c>
      <c r="H37" s="8">
        <v>44525</v>
      </c>
      <c r="I37" s="14">
        <v>1033.1922</v>
      </c>
      <c r="J37" s="8">
        <v>44525</v>
      </c>
    </row>
    <row r="38" spans="1:15" hidden="1" x14ac:dyDescent="0.25">
      <c r="A38" s="7">
        <v>35</v>
      </c>
      <c r="B38" s="8">
        <v>44525</v>
      </c>
      <c r="C38" s="9" t="s">
        <v>205</v>
      </c>
      <c r="D38" s="10" t="s">
        <v>24</v>
      </c>
      <c r="E38" s="15">
        <v>-11171.9072586</v>
      </c>
      <c r="F38" s="16">
        <v>-10.813000000000001</v>
      </c>
      <c r="G38" s="13">
        <v>5760.9597000000003</v>
      </c>
      <c r="H38" s="8">
        <v>44525</v>
      </c>
      <c r="I38" s="14">
        <v>1033.1922</v>
      </c>
      <c r="J38" s="8">
        <v>44525</v>
      </c>
      <c r="M38"/>
      <c r="N38"/>
      <c r="O38"/>
    </row>
    <row r="39" spans="1:15" x14ac:dyDescent="0.25">
      <c r="A39" s="7">
        <v>36</v>
      </c>
      <c r="B39" s="8">
        <v>44555</v>
      </c>
      <c r="C39" s="9" t="s">
        <v>206</v>
      </c>
      <c r="D39" s="10" t="s">
        <v>24</v>
      </c>
      <c r="E39" s="15">
        <v>-10530.449796459799</v>
      </c>
      <c r="F39" s="16">
        <v>-10.4084502691649</v>
      </c>
      <c r="G39" s="13">
        <v>5750.55124973084</v>
      </c>
      <c r="H39" s="8">
        <v>44554</v>
      </c>
      <c r="I39" s="14">
        <v>1011.7212</v>
      </c>
      <c r="J39" s="8">
        <v>44555</v>
      </c>
    </row>
    <row r="40" spans="1:15" hidden="1" x14ac:dyDescent="0.25">
      <c r="A40" s="7">
        <v>37</v>
      </c>
      <c r="B40" s="8">
        <v>44555</v>
      </c>
      <c r="C40" s="9" t="s">
        <v>207</v>
      </c>
      <c r="D40" s="10" t="s">
        <v>24</v>
      </c>
      <c r="E40" s="15">
        <v>-11084.683996273499</v>
      </c>
      <c r="F40" s="16">
        <v>-10.9562634412262</v>
      </c>
      <c r="G40" s="13">
        <v>5739.5949862896096</v>
      </c>
      <c r="H40" s="8">
        <v>44554</v>
      </c>
      <c r="I40" s="14">
        <v>1011.7212</v>
      </c>
      <c r="J40" s="8">
        <v>44555</v>
      </c>
      <c r="M40"/>
      <c r="N40"/>
      <c r="O40"/>
    </row>
    <row r="41" spans="1:15" x14ac:dyDescent="0.25">
      <c r="A41" s="7">
        <v>38</v>
      </c>
      <c r="B41" s="8">
        <v>44586</v>
      </c>
      <c r="C41" s="9" t="s">
        <v>208</v>
      </c>
      <c r="D41" s="10" t="s">
        <v>24</v>
      </c>
      <c r="E41" s="15">
        <v>-10760.42223018</v>
      </c>
      <c r="F41" s="16">
        <v>-10.3887</v>
      </c>
      <c r="G41" s="13">
        <v>5729.20628628961</v>
      </c>
      <c r="H41" s="8">
        <v>44586</v>
      </c>
      <c r="I41" s="14">
        <v>1035.7814000000001</v>
      </c>
      <c r="J41" s="8">
        <v>44586</v>
      </c>
    </row>
    <row r="42" spans="1:15" hidden="1" x14ac:dyDescent="0.25">
      <c r="A42" s="7">
        <v>39</v>
      </c>
      <c r="B42" s="8">
        <v>44586</v>
      </c>
      <c r="C42" s="9" t="s">
        <v>209</v>
      </c>
      <c r="D42" s="10" t="s">
        <v>24</v>
      </c>
      <c r="E42" s="15">
        <v>-11326.7874997</v>
      </c>
      <c r="F42" s="16">
        <v>-10.935499999999999</v>
      </c>
      <c r="G42" s="13">
        <v>5718.2707862896104</v>
      </c>
      <c r="H42" s="8">
        <v>44586</v>
      </c>
      <c r="I42" s="14">
        <v>1035.7814000000001</v>
      </c>
      <c r="J42" s="8">
        <v>44586</v>
      </c>
      <c r="M42"/>
      <c r="N42"/>
      <c r="O42"/>
    </row>
    <row r="43" spans="1:15" x14ac:dyDescent="0.25">
      <c r="A43" s="7">
        <v>40</v>
      </c>
      <c r="B43" s="8">
        <v>44617</v>
      </c>
      <c r="C43" s="9" t="s">
        <v>210</v>
      </c>
      <c r="D43" s="10" t="s">
        <v>24</v>
      </c>
      <c r="E43" s="15">
        <v>-10846.851934800001</v>
      </c>
      <c r="F43" s="16">
        <v>-10.1416</v>
      </c>
      <c r="G43" s="13">
        <v>5708.1291862896096</v>
      </c>
      <c r="H43" s="8">
        <v>44617</v>
      </c>
      <c r="I43" s="14">
        <v>1069.5405000000001</v>
      </c>
      <c r="J43" s="8">
        <v>44617</v>
      </c>
    </row>
    <row r="44" spans="1:15" hidden="1" x14ac:dyDescent="0.25">
      <c r="A44" s="7">
        <v>41</v>
      </c>
      <c r="B44" s="8">
        <v>44617</v>
      </c>
      <c r="C44" s="9" t="s">
        <v>211</v>
      </c>
      <c r="D44" s="10" t="s">
        <v>24</v>
      </c>
      <c r="E44" s="15">
        <v>-11417.665699650001</v>
      </c>
      <c r="F44" s="16">
        <v>-10.6753</v>
      </c>
      <c r="G44" s="13">
        <v>5697.4538862896097</v>
      </c>
      <c r="H44" s="8">
        <v>44617</v>
      </c>
      <c r="I44" s="14">
        <v>1069.5405000000001</v>
      </c>
      <c r="J44" s="8">
        <v>44617</v>
      </c>
      <c r="M44"/>
      <c r="N44"/>
      <c r="O44"/>
    </row>
    <row r="45" spans="1:15" x14ac:dyDescent="0.25">
      <c r="A45" s="7">
        <v>42</v>
      </c>
      <c r="B45" s="8">
        <v>44645</v>
      </c>
      <c r="C45" s="9" t="s">
        <v>212</v>
      </c>
      <c r="D45" s="10" t="s">
        <v>24</v>
      </c>
      <c r="E45" s="15">
        <v>-11091.321715</v>
      </c>
      <c r="F45" s="16">
        <v>-9.9499999999999993</v>
      </c>
      <c r="G45" s="13">
        <v>5687.5038862896099</v>
      </c>
      <c r="H45" s="8">
        <v>44645</v>
      </c>
      <c r="I45" s="14">
        <v>1114.7057</v>
      </c>
      <c r="J45" s="8">
        <v>44645</v>
      </c>
    </row>
    <row r="46" spans="1:15" hidden="1" x14ac:dyDescent="0.25">
      <c r="A46" s="7">
        <v>43</v>
      </c>
      <c r="B46" s="8">
        <v>44645</v>
      </c>
      <c r="C46" s="9" t="s">
        <v>213</v>
      </c>
      <c r="D46" s="10" t="s">
        <v>24</v>
      </c>
      <c r="E46" s="15">
        <v>-11675.09309009</v>
      </c>
      <c r="F46" s="16">
        <v>-10.473699999999999</v>
      </c>
      <c r="G46" s="13">
        <v>5677.0301862896104</v>
      </c>
      <c r="H46" s="8">
        <v>44645</v>
      </c>
      <c r="I46" s="14">
        <v>1114.7057</v>
      </c>
      <c r="J46" s="8">
        <v>44645</v>
      </c>
      <c r="M46"/>
      <c r="N46"/>
      <c r="O46"/>
    </row>
    <row r="47" spans="1:15" x14ac:dyDescent="0.25">
      <c r="A47" s="7">
        <v>44</v>
      </c>
      <c r="B47" s="8">
        <v>44676</v>
      </c>
      <c r="C47" s="9" t="s">
        <v>214</v>
      </c>
      <c r="D47" s="10" t="s">
        <v>24</v>
      </c>
      <c r="E47" s="15">
        <v>-11403.6816236</v>
      </c>
      <c r="F47" s="16">
        <v>-9.9067000000000007</v>
      </c>
      <c r="G47" s="13">
        <v>5667.1234862896099</v>
      </c>
      <c r="H47" s="8">
        <v>44676</v>
      </c>
      <c r="I47" s="14">
        <v>1151.1079999999999</v>
      </c>
      <c r="J47" s="8">
        <v>44676</v>
      </c>
    </row>
    <row r="48" spans="1:15" hidden="1" x14ac:dyDescent="0.25">
      <c r="A48" s="7">
        <v>45</v>
      </c>
      <c r="B48" s="8">
        <v>44676</v>
      </c>
      <c r="C48" s="9" t="s">
        <v>215</v>
      </c>
      <c r="D48" s="10" t="s">
        <v>24</v>
      </c>
      <c r="E48" s="15">
        <v>-12003.8693348</v>
      </c>
      <c r="F48" s="16">
        <v>-10.428100000000001</v>
      </c>
      <c r="G48" s="13">
        <v>5656.6953862896098</v>
      </c>
      <c r="H48" s="8">
        <v>44676</v>
      </c>
      <c r="I48" s="14">
        <v>1151.1079999999999</v>
      </c>
      <c r="J48" s="8">
        <v>44676</v>
      </c>
      <c r="M48"/>
      <c r="N48"/>
      <c r="O48"/>
    </row>
    <row r="49" spans="1:15" x14ac:dyDescent="0.25">
      <c r="A49" s="7">
        <v>46</v>
      </c>
      <c r="B49" s="8">
        <v>44706</v>
      </c>
      <c r="C49" s="9" t="s">
        <v>216</v>
      </c>
      <c r="D49" s="10" t="s">
        <v>24</v>
      </c>
      <c r="E49" s="15">
        <v>-11097.433341600001</v>
      </c>
      <c r="F49" s="16">
        <v>-10.071999999999999</v>
      </c>
      <c r="G49" s="13">
        <v>5646.6233862896097</v>
      </c>
      <c r="H49" s="8">
        <v>44706</v>
      </c>
      <c r="I49" s="14">
        <v>1101.8103000000001</v>
      </c>
      <c r="J49" s="8">
        <v>44706</v>
      </c>
    </row>
    <row r="50" spans="1:15" hidden="1" x14ac:dyDescent="0.25">
      <c r="A50" s="7">
        <v>47</v>
      </c>
      <c r="B50" s="8">
        <v>44706</v>
      </c>
      <c r="C50" s="9" t="s">
        <v>217</v>
      </c>
      <c r="D50" s="10" t="s">
        <v>24</v>
      </c>
      <c r="E50" s="15">
        <v>-11681.502981629999</v>
      </c>
      <c r="F50" s="16">
        <v>-10.6021</v>
      </c>
      <c r="G50" s="13">
        <v>5636.0212862896096</v>
      </c>
      <c r="H50" s="8">
        <v>44706</v>
      </c>
      <c r="I50" s="14">
        <v>1101.8103000000001</v>
      </c>
      <c r="J50" s="8">
        <v>44706</v>
      </c>
      <c r="M50"/>
      <c r="N50"/>
      <c r="O50"/>
    </row>
    <row r="51" spans="1:15" x14ac:dyDescent="0.25">
      <c r="A51" s="7">
        <v>48</v>
      </c>
      <c r="B51" s="8">
        <v>44737</v>
      </c>
      <c r="C51" s="9" t="s">
        <v>218</v>
      </c>
      <c r="D51" s="10" t="s">
        <v>24</v>
      </c>
      <c r="E51" s="15">
        <v>-11053.7022</v>
      </c>
      <c r="F51" s="16">
        <v>-10.1425</v>
      </c>
      <c r="G51" s="13">
        <v>5625.8787862896097</v>
      </c>
      <c r="H51" s="8">
        <v>44739</v>
      </c>
      <c r="I51" s="14">
        <v>1089.8399999999999</v>
      </c>
      <c r="J51" s="8">
        <v>44737</v>
      </c>
    </row>
    <row r="52" spans="1:15" hidden="1" x14ac:dyDescent="0.25">
      <c r="A52" s="7">
        <v>49</v>
      </c>
      <c r="B52" s="8">
        <v>44737</v>
      </c>
      <c r="C52" s="9" t="s">
        <v>219</v>
      </c>
      <c r="D52" s="10" t="s">
        <v>24</v>
      </c>
      <c r="E52" s="15">
        <v>-11635.458791999999</v>
      </c>
      <c r="F52" s="16">
        <v>-10.676299999999999</v>
      </c>
      <c r="G52" s="13">
        <v>5615.2024862896096</v>
      </c>
      <c r="H52" s="8">
        <v>44739</v>
      </c>
      <c r="I52" s="14">
        <v>1089.8399999999999</v>
      </c>
      <c r="J52" s="8">
        <v>44737</v>
      </c>
      <c r="M52"/>
      <c r="N52"/>
      <c r="O52"/>
    </row>
    <row r="53" spans="1:15" x14ac:dyDescent="0.25">
      <c r="A53" s="7">
        <v>50</v>
      </c>
      <c r="B53" s="8">
        <v>44798</v>
      </c>
      <c r="C53" s="9" t="s">
        <v>220</v>
      </c>
      <c r="D53" s="10" t="s">
        <v>24</v>
      </c>
      <c r="E53" s="15">
        <v>-11260.726088879999</v>
      </c>
      <c r="F53" s="16">
        <v>-9.9159000000000006</v>
      </c>
      <c r="G53" s="13">
        <v>5605.2865862896097</v>
      </c>
      <c r="H53" s="8">
        <v>44798</v>
      </c>
      <c r="I53" s="14">
        <v>1135.6232</v>
      </c>
      <c r="J53" s="8">
        <v>44798</v>
      </c>
    </row>
    <row r="54" spans="1:15" hidden="1" x14ac:dyDescent="0.25">
      <c r="A54" s="7">
        <v>51</v>
      </c>
      <c r="B54" s="8">
        <v>44798</v>
      </c>
      <c r="C54" s="9" t="s">
        <v>221</v>
      </c>
      <c r="D54" s="10" t="s">
        <v>24</v>
      </c>
      <c r="E54" s="15">
        <v>-11853.29427464</v>
      </c>
      <c r="F54" s="16">
        <v>-10.4377</v>
      </c>
      <c r="G54" s="13">
        <v>5594.8488862896102</v>
      </c>
      <c r="H54" s="8">
        <v>44798</v>
      </c>
      <c r="I54" s="14">
        <v>1135.6232</v>
      </c>
      <c r="J54" s="8">
        <v>44798</v>
      </c>
      <c r="M54"/>
      <c r="N54"/>
      <c r="O54"/>
    </row>
    <row r="55" spans="1:15" x14ac:dyDescent="0.25">
      <c r="A55" s="7">
        <v>52</v>
      </c>
      <c r="B55" s="8">
        <v>44829</v>
      </c>
      <c r="C55" s="9" t="s">
        <v>222</v>
      </c>
      <c r="D55" s="10" t="s">
        <v>24</v>
      </c>
      <c r="E55" s="15">
        <v>-12945.184136239999</v>
      </c>
      <c r="F55" s="16">
        <v>-11.2964</v>
      </c>
      <c r="G55" s="13">
        <v>5583.55248628961</v>
      </c>
      <c r="H55" s="8">
        <v>44830</v>
      </c>
      <c r="I55" s="14">
        <v>1145.9566</v>
      </c>
      <c r="J55" s="8">
        <v>44829</v>
      </c>
    </row>
    <row r="56" spans="1:15" hidden="1" x14ac:dyDescent="0.25">
      <c r="A56" s="7">
        <v>53</v>
      </c>
      <c r="B56" s="8">
        <v>44829</v>
      </c>
      <c r="C56" s="9" t="s">
        <v>223</v>
      </c>
      <c r="D56" s="10" t="s">
        <v>24</v>
      </c>
      <c r="E56" s="15">
        <v>-12045.722800899999</v>
      </c>
      <c r="F56" s="16">
        <v>-10.5115</v>
      </c>
      <c r="G56" s="13">
        <v>5573.0409862896104</v>
      </c>
      <c r="H56" s="8">
        <v>44830</v>
      </c>
      <c r="I56" s="14">
        <v>1145.9566</v>
      </c>
      <c r="J56" s="8">
        <v>44829</v>
      </c>
      <c r="M56"/>
      <c r="N56"/>
      <c r="O56"/>
    </row>
    <row r="57" spans="1:15" x14ac:dyDescent="0.25">
      <c r="A57" s="7">
        <v>54</v>
      </c>
      <c r="B57" s="8">
        <v>44859</v>
      </c>
      <c r="C57" s="9" t="s">
        <v>224</v>
      </c>
      <c r="D57" s="10" t="s">
        <v>24</v>
      </c>
      <c r="E57" s="15">
        <v>-12792.725968680001</v>
      </c>
      <c r="F57" s="16">
        <v>-11.292299999999999</v>
      </c>
      <c r="G57" s="13">
        <v>5561.7486862896103</v>
      </c>
      <c r="H57" s="8">
        <v>44859</v>
      </c>
      <c r="I57" s="14">
        <v>1132.8715999999999</v>
      </c>
      <c r="J57" s="8">
        <v>44859</v>
      </c>
    </row>
    <row r="58" spans="1:15" hidden="1" x14ac:dyDescent="0.25">
      <c r="A58" s="7">
        <v>55</v>
      </c>
      <c r="B58" s="8">
        <v>44859</v>
      </c>
      <c r="C58" s="9" t="s">
        <v>225</v>
      </c>
      <c r="D58" s="10" t="s">
        <v>24</v>
      </c>
      <c r="E58" s="15">
        <v>-11903.761624160001</v>
      </c>
      <c r="F58" s="16">
        <v>-10.5076</v>
      </c>
      <c r="G58" s="13">
        <v>5551.2410862896104</v>
      </c>
      <c r="H58" s="8">
        <v>44859</v>
      </c>
      <c r="I58" s="14">
        <v>1132.8715999999999</v>
      </c>
      <c r="J58" s="8">
        <v>44859</v>
      </c>
      <c r="M58"/>
      <c r="N58"/>
      <c r="O58"/>
    </row>
    <row r="59" spans="1:15" x14ac:dyDescent="0.25">
      <c r="A59" s="7">
        <v>56</v>
      </c>
      <c r="B59" s="8">
        <v>44890</v>
      </c>
      <c r="C59" s="9" t="s">
        <v>226</v>
      </c>
      <c r="D59" s="10" t="s">
        <v>24</v>
      </c>
      <c r="E59" s="15">
        <v>-12683.9695171</v>
      </c>
      <c r="F59" s="16">
        <v>-11.241400000000001</v>
      </c>
      <c r="G59" s="13">
        <v>5539.9996862896096</v>
      </c>
      <c r="H59" s="8">
        <v>44890</v>
      </c>
      <c r="I59" s="14">
        <v>1128.3264999999999</v>
      </c>
      <c r="J59" s="8">
        <v>44890</v>
      </c>
    </row>
    <row r="60" spans="1:15" hidden="1" x14ac:dyDescent="0.25">
      <c r="A60" s="7">
        <v>57</v>
      </c>
      <c r="B60" s="8">
        <v>44890</v>
      </c>
      <c r="C60" s="9" t="s">
        <v>227</v>
      </c>
      <c r="D60" s="10" t="s">
        <v>24</v>
      </c>
      <c r="E60" s="15">
        <v>-11802.63368795</v>
      </c>
      <c r="F60" s="16">
        <v>-10.4603</v>
      </c>
      <c r="G60" s="13">
        <v>5529.5393862896099</v>
      </c>
      <c r="H60" s="8">
        <v>44890</v>
      </c>
      <c r="I60" s="14">
        <v>1128.3264999999999</v>
      </c>
      <c r="J60" s="8">
        <v>44890</v>
      </c>
      <c r="M60"/>
      <c r="N60"/>
      <c r="O60"/>
    </row>
    <row r="61" spans="1:15" x14ac:dyDescent="0.25">
      <c r="A61" s="7">
        <v>58</v>
      </c>
      <c r="B61" s="8">
        <v>44951</v>
      </c>
      <c r="C61" s="9" t="s">
        <v>228</v>
      </c>
      <c r="D61" s="10" t="s">
        <v>24</v>
      </c>
      <c r="E61" s="15">
        <v>-12483.997972319999</v>
      </c>
      <c r="F61" s="16">
        <v>-11.433199999999999</v>
      </c>
      <c r="G61" s="13">
        <v>5518.1061862896104</v>
      </c>
      <c r="H61" s="8">
        <v>44951</v>
      </c>
      <c r="I61" s="14">
        <v>1091.9076</v>
      </c>
      <c r="J61" s="8">
        <v>44951</v>
      </c>
    </row>
    <row r="62" spans="1:15" hidden="1" x14ac:dyDescent="0.25">
      <c r="A62" s="7">
        <v>59</v>
      </c>
      <c r="B62" s="8">
        <v>44951</v>
      </c>
      <c r="C62" s="9" t="s">
        <v>229</v>
      </c>
      <c r="D62" s="10" t="s">
        <v>24</v>
      </c>
      <c r="E62" s="15">
        <v>-11616.47738412</v>
      </c>
      <c r="F62" s="16">
        <v>-10.6387</v>
      </c>
      <c r="G62" s="13">
        <v>5507.46748628961</v>
      </c>
      <c r="H62" s="8">
        <v>44951</v>
      </c>
      <c r="I62" s="14">
        <v>1091.9076</v>
      </c>
      <c r="J62" s="8">
        <v>44951</v>
      </c>
      <c r="M62"/>
      <c r="N62"/>
      <c r="O62"/>
    </row>
    <row r="63" spans="1:15" x14ac:dyDescent="0.25">
      <c r="A63" s="7">
        <v>60</v>
      </c>
      <c r="B63" s="8">
        <v>44982</v>
      </c>
      <c r="C63" s="9" t="s">
        <v>230</v>
      </c>
      <c r="D63" s="10" t="s">
        <v>24</v>
      </c>
      <c r="E63" s="15">
        <v>-12438.48022648</v>
      </c>
      <c r="F63" s="16">
        <v>-11.3764</v>
      </c>
      <c r="G63" s="13">
        <v>5496.0910862896098</v>
      </c>
      <c r="H63" s="8">
        <v>44984</v>
      </c>
      <c r="I63" s="14">
        <v>1093.3581999999999</v>
      </c>
      <c r="J63" s="8">
        <v>44982</v>
      </c>
    </row>
    <row r="64" spans="1:15" hidden="1" x14ac:dyDescent="0.25">
      <c r="A64" s="7">
        <v>61</v>
      </c>
      <c r="B64" s="8">
        <v>44982</v>
      </c>
      <c r="C64" s="9" t="s">
        <v>231</v>
      </c>
      <c r="D64" s="10" t="s">
        <v>24</v>
      </c>
      <c r="E64" s="15">
        <v>-11574.18056938</v>
      </c>
      <c r="F64" s="16">
        <v>-10.585900000000001</v>
      </c>
      <c r="G64" s="13">
        <v>5485.5051862896098</v>
      </c>
      <c r="H64" s="8">
        <v>44984</v>
      </c>
      <c r="I64" s="14">
        <v>1093.3581999999999</v>
      </c>
      <c r="J64" s="8">
        <v>44982</v>
      </c>
      <c r="M64"/>
      <c r="N64"/>
      <c r="O64"/>
    </row>
    <row r="65" spans="1:15" x14ac:dyDescent="0.25">
      <c r="A65" s="7">
        <v>62</v>
      </c>
      <c r="B65" s="8">
        <v>45010</v>
      </c>
      <c r="C65" s="9" t="s">
        <v>232</v>
      </c>
      <c r="D65" s="10" t="s">
        <v>24</v>
      </c>
      <c r="E65" s="15">
        <v>-12134.02174593</v>
      </c>
      <c r="F65" s="16">
        <v>-11.398099999999999</v>
      </c>
      <c r="G65" s="13">
        <v>5474.1070862896104</v>
      </c>
      <c r="H65" s="8">
        <v>45012</v>
      </c>
      <c r="I65" s="14">
        <v>1064.5653</v>
      </c>
      <c r="J65" s="8">
        <v>45010</v>
      </c>
    </row>
    <row r="66" spans="1:15" hidden="1" x14ac:dyDescent="0.25">
      <c r="A66" s="7">
        <v>63</v>
      </c>
      <c r="B66" s="8">
        <v>45010</v>
      </c>
      <c r="C66" s="9" t="s">
        <v>233</v>
      </c>
      <c r="D66" s="10" t="s">
        <v>24</v>
      </c>
      <c r="E66" s="15">
        <v>-11290.88602833</v>
      </c>
      <c r="F66" s="16">
        <v>-10.6061</v>
      </c>
      <c r="G66" s="13">
        <v>5463.5009862896104</v>
      </c>
      <c r="H66" s="8">
        <v>45012</v>
      </c>
      <c r="I66" s="14">
        <v>1064.5653</v>
      </c>
      <c r="J66" s="8">
        <v>45010</v>
      </c>
      <c r="M66"/>
      <c r="N66"/>
      <c r="O66"/>
    </row>
    <row r="67" spans="1:15" x14ac:dyDescent="0.25">
      <c r="A67" s="7">
        <v>64</v>
      </c>
      <c r="B67" s="8">
        <v>45041</v>
      </c>
      <c r="C67" s="9" t="s">
        <v>234</v>
      </c>
      <c r="D67" s="10" t="s">
        <v>24</v>
      </c>
      <c r="E67" s="15">
        <v>-12242.2458568</v>
      </c>
      <c r="F67" s="16">
        <v>-11.1905</v>
      </c>
      <c r="G67" s="13">
        <v>5452.3104862896098</v>
      </c>
      <c r="H67" s="8">
        <v>45042</v>
      </c>
      <c r="I67" s="14">
        <v>1093.9856</v>
      </c>
      <c r="J67" s="8">
        <v>45041</v>
      </c>
    </row>
    <row r="68" spans="1:15" hidden="1" x14ac:dyDescent="0.25">
      <c r="A68" s="7">
        <v>65</v>
      </c>
      <c r="B68" s="8">
        <v>45041</v>
      </c>
      <c r="C68" s="9" t="s">
        <v>235</v>
      </c>
      <c r="D68" s="10" t="s">
        <v>24</v>
      </c>
      <c r="E68" s="15">
        <v>-11391.45325568</v>
      </c>
      <c r="F68" s="16">
        <v>-10.412800000000001</v>
      </c>
      <c r="G68" s="13">
        <v>5441.8976862896097</v>
      </c>
      <c r="H68" s="8">
        <v>45042</v>
      </c>
      <c r="I68" s="14">
        <v>1093.9856</v>
      </c>
      <c r="J68" s="8">
        <v>45041</v>
      </c>
      <c r="M68"/>
      <c r="N68"/>
      <c r="O68"/>
    </row>
    <row r="69" spans="1:15" x14ac:dyDescent="0.25">
      <c r="A69" s="7">
        <v>66</v>
      </c>
      <c r="B69" s="8">
        <v>45071</v>
      </c>
      <c r="C69" s="9" t="s">
        <v>236</v>
      </c>
      <c r="D69" s="10" t="s">
        <v>24</v>
      </c>
      <c r="E69" s="15">
        <v>-12105.95604456</v>
      </c>
      <c r="F69" s="16">
        <v>-11.3512</v>
      </c>
      <c r="G69" s="13">
        <v>5430.5464862896097</v>
      </c>
      <c r="H69" s="8">
        <v>45071</v>
      </c>
      <c r="I69" s="14">
        <v>1066.4912999999999</v>
      </c>
      <c r="J69" s="8">
        <v>45071</v>
      </c>
    </row>
    <row r="70" spans="1:15" hidden="1" x14ac:dyDescent="0.25">
      <c r="A70" s="7">
        <v>67</v>
      </c>
      <c r="B70" s="8">
        <v>45071</v>
      </c>
      <c r="C70" s="9" t="s">
        <v>237</v>
      </c>
      <c r="D70" s="10" t="s">
        <v>24</v>
      </c>
      <c r="E70" s="15">
        <v>-11264.70770712</v>
      </c>
      <c r="F70" s="16">
        <v>-10.5624</v>
      </c>
      <c r="G70" s="13">
        <v>5419.9840862896099</v>
      </c>
      <c r="H70" s="8">
        <v>45071</v>
      </c>
      <c r="I70" s="14">
        <v>1066.4912999999999</v>
      </c>
      <c r="J70" s="8">
        <v>45071</v>
      </c>
      <c r="M70"/>
      <c r="N70"/>
      <c r="O70"/>
    </row>
    <row r="71" spans="1:15" x14ac:dyDescent="0.25">
      <c r="A71" s="7">
        <v>68</v>
      </c>
      <c r="B71" s="8">
        <v>45102</v>
      </c>
      <c r="C71" s="9" t="s">
        <v>238</v>
      </c>
      <c r="D71" s="10" t="s">
        <v>24</v>
      </c>
      <c r="E71" s="15">
        <v>-11995.17489464</v>
      </c>
      <c r="F71" s="16">
        <v>-11.1572</v>
      </c>
      <c r="G71" s="13">
        <v>5408.8268862896102</v>
      </c>
      <c r="H71" s="8">
        <v>45103</v>
      </c>
      <c r="I71" s="14">
        <v>1075.1061999999999</v>
      </c>
      <c r="J71" s="8">
        <v>45102</v>
      </c>
    </row>
    <row r="72" spans="1:15" hidden="1" x14ac:dyDescent="0.25">
      <c r="A72" s="7">
        <v>69</v>
      </c>
      <c r="B72" s="8">
        <v>45102</v>
      </c>
      <c r="C72" s="9" t="s">
        <v>239</v>
      </c>
      <c r="D72" s="10" t="s">
        <v>24</v>
      </c>
      <c r="E72" s="15">
        <v>-11161.645057780001</v>
      </c>
      <c r="F72" s="16">
        <v>-10.3819</v>
      </c>
      <c r="G72" s="13">
        <v>5398.4449862896099</v>
      </c>
      <c r="H72" s="8">
        <v>45103</v>
      </c>
      <c r="I72" s="14">
        <v>1075.1061999999999</v>
      </c>
      <c r="J72" s="8">
        <v>45102</v>
      </c>
      <c r="M72"/>
      <c r="N72"/>
      <c r="O72"/>
    </row>
    <row r="73" spans="1:15" x14ac:dyDescent="0.25">
      <c r="A73" s="7">
        <v>70</v>
      </c>
      <c r="B73" s="8">
        <v>45132</v>
      </c>
      <c r="C73" s="9" t="s">
        <v>240</v>
      </c>
      <c r="D73" s="10" t="s">
        <v>24</v>
      </c>
      <c r="E73" s="15">
        <v>-12056.527159200001</v>
      </c>
      <c r="F73" s="16">
        <v>-11.192</v>
      </c>
      <c r="G73" s="13">
        <v>5387.2529862896099</v>
      </c>
      <c r="H73" s="8">
        <v>45132</v>
      </c>
      <c r="I73" s="14">
        <v>1077.2451000000001</v>
      </c>
      <c r="J73" s="8">
        <v>45132</v>
      </c>
    </row>
    <row r="74" spans="1:15" hidden="1" x14ac:dyDescent="0.25">
      <c r="A74" s="7">
        <v>71</v>
      </c>
      <c r="B74" s="8">
        <v>45132</v>
      </c>
      <c r="C74" s="9" t="s">
        <v>241</v>
      </c>
      <c r="D74" s="10" t="s">
        <v>24</v>
      </c>
      <c r="E74" s="15">
        <v>-11218.64592042</v>
      </c>
      <c r="F74" s="16">
        <v>-10.414199999999999</v>
      </c>
      <c r="G74" s="13">
        <v>5376.8387862896097</v>
      </c>
      <c r="H74" s="8">
        <v>45132</v>
      </c>
      <c r="I74" s="14">
        <v>1077.2451000000001</v>
      </c>
      <c r="J74" s="8">
        <v>45132</v>
      </c>
      <c r="M74"/>
      <c r="N74"/>
      <c r="O74"/>
    </row>
    <row r="75" spans="1:15" x14ac:dyDescent="0.25">
      <c r="A75" s="7">
        <v>72</v>
      </c>
      <c r="B75" s="8">
        <v>45163</v>
      </c>
      <c r="C75" s="9" t="s">
        <v>242</v>
      </c>
      <c r="D75" s="10" t="s">
        <v>24</v>
      </c>
      <c r="E75" s="15">
        <v>-12159.97545333</v>
      </c>
      <c r="F75" s="16">
        <v>-11.1549</v>
      </c>
      <c r="G75" s="13">
        <v>5365.6838862896102</v>
      </c>
      <c r="H75" s="8">
        <v>45163</v>
      </c>
      <c r="I75" s="14">
        <v>1090.1016999999999</v>
      </c>
      <c r="J75" s="8">
        <v>45163</v>
      </c>
    </row>
    <row r="76" spans="1:15" hidden="1" x14ac:dyDescent="0.25">
      <c r="A76" s="7">
        <v>73</v>
      </c>
      <c r="B76" s="8">
        <v>45163</v>
      </c>
      <c r="C76" s="9" t="s">
        <v>243</v>
      </c>
      <c r="D76" s="10" t="s">
        <v>24</v>
      </c>
      <c r="E76" s="15">
        <v>-11315.037625659999</v>
      </c>
      <c r="F76" s="16">
        <v>-10.379799999999999</v>
      </c>
      <c r="G76" s="13">
        <v>5355.3040862896096</v>
      </c>
      <c r="H76" s="8">
        <v>45163</v>
      </c>
      <c r="I76" s="14">
        <v>1090.1016999999999</v>
      </c>
      <c r="J76" s="8">
        <v>45163</v>
      </c>
      <c r="M76"/>
      <c r="N76"/>
      <c r="O76"/>
    </row>
    <row r="77" spans="1:15" x14ac:dyDescent="0.25">
      <c r="A77" s="7">
        <v>74</v>
      </c>
      <c r="B77" s="8">
        <v>45194</v>
      </c>
      <c r="C77" s="9" t="s">
        <v>244</v>
      </c>
      <c r="D77" s="10" t="s">
        <v>24</v>
      </c>
      <c r="E77" s="15">
        <v>-13844.376446849999</v>
      </c>
      <c r="F77" s="16">
        <v>-12.448499999999999</v>
      </c>
      <c r="G77" s="13">
        <v>5342.8555862896101</v>
      </c>
      <c r="H77" s="8">
        <v>45194</v>
      </c>
      <c r="I77" s="14">
        <v>1112.1321</v>
      </c>
      <c r="J77" s="8">
        <v>45194</v>
      </c>
      <c r="L77" s="15">
        <v>-16436.648945000001</v>
      </c>
      <c r="M77" s="23">
        <f>E77+L77</f>
        <v>-30281.025391850002</v>
      </c>
    </row>
    <row r="78" spans="1:15" hidden="1" x14ac:dyDescent="0.25">
      <c r="A78" s="7">
        <v>75</v>
      </c>
      <c r="B78" s="8">
        <v>45194</v>
      </c>
      <c r="C78" s="9" t="s">
        <v>245</v>
      </c>
      <c r="D78" s="10" t="s">
        <v>24</v>
      </c>
      <c r="E78" s="15">
        <v>-11429.937657750001</v>
      </c>
      <c r="F78" s="16">
        <v>-10.2775</v>
      </c>
      <c r="G78" s="13">
        <v>5332.5780862896099</v>
      </c>
      <c r="H78" s="8">
        <v>45194</v>
      </c>
      <c r="I78" s="14">
        <v>1112.1321</v>
      </c>
      <c r="J78" s="8">
        <v>45194</v>
      </c>
      <c r="M78"/>
      <c r="N78"/>
      <c r="O78"/>
    </row>
    <row r="79" spans="1:15" x14ac:dyDescent="0.25">
      <c r="A79" s="7">
        <v>76</v>
      </c>
      <c r="B79" s="8">
        <v>45224</v>
      </c>
      <c r="C79" s="9" t="s">
        <v>246</v>
      </c>
      <c r="D79" s="10" t="s">
        <v>24</v>
      </c>
      <c r="E79" s="15">
        <v>-13488.97839289</v>
      </c>
      <c r="F79" s="16">
        <v>-12.9283</v>
      </c>
      <c r="G79" s="13">
        <v>5319.6497862896103</v>
      </c>
      <c r="H79" s="8">
        <v>45224</v>
      </c>
      <c r="I79" s="14">
        <v>1043.3683000000001</v>
      </c>
      <c r="J79" s="8">
        <v>45224</v>
      </c>
      <c r="L79" s="15">
        <v>-16792.024851009999</v>
      </c>
      <c r="M79" s="23">
        <f>E79+L79</f>
        <v>-30281.003243899999</v>
      </c>
    </row>
    <row r="80" spans="1:15" hidden="1" x14ac:dyDescent="0.25">
      <c r="A80" s="7">
        <v>77</v>
      </c>
      <c r="B80" s="8">
        <v>45224</v>
      </c>
      <c r="C80" s="9" t="s">
        <v>247</v>
      </c>
      <c r="D80" s="10" t="s">
        <v>24</v>
      </c>
      <c r="E80" s="15">
        <v>-11136.49588688</v>
      </c>
      <c r="F80" s="16">
        <v>-10.6736</v>
      </c>
      <c r="G80" s="13">
        <v>5308.9761862896103</v>
      </c>
      <c r="H80" s="8">
        <v>45224</v>
      </c>
      <c r="I80" s="14">
        <v>1043.3683000000001</v>
      </c>
      <c r="J80" s="8">
        <v>45224</v>
      </c>
      <c r="M80"/>
      <c r="N80"/>
      <c r="O80"/>
    </row>
    <row r="81" spans="1:15" x14ac:dyDescent="0.25">
      <c r="A81" s="7">
        <v>78</v>
      </c>
      <c r="B81" s="8">
        <v>45255</v>
      </c>
      <c r="C81" s="9" t="s">
        <v>248</v>
      </c>
      <c r="D81" s="10" t="s">
        <v>24</v>
      </c>
      <c r="E81" s="15">
        <v>-13157.855884480001</v>
      </c>
      <c r="F81" s="16">
        <v>-12.9842</v>
      </c>
      <c r="G81" s="13">
        <v>5295.9919862896104</v>
      </c>
      <c r="H81" s="8">
        <v>45257</v>
      </c>
      <c r="I81" s="14">
        <v>1013.3744</v>
      </c>
      <c r="J81" s="8">
        <v>45255</v>
      </c>
      <c r="L81" s="15">
        <v>-17123.045169720001</v>
      </c>
      <c r="M81" s="23">
        <f>E81+L81</f>
        <v>-30280.901054200003</v>
      </c>
    </row>
    <row r="82" spans="1:15" hidden="1" x14ac:dyDescent="0.25">
      <c r="A82" s="7">
        <v>79</v>
      </c>
      <c r="B82" s="8">
        <v>45255</v>
      </c>
      <c r="C82" s="9" t="s">
        <v>249</v>
      </c>
      <c r="D82" s="10" t="s">
        <v>24</v>
      </c>
      <c r="E82" s="15">
        <v>-10863.170893119999</v>
      </c>
      <c r="F82" s="16">
        <v>-10.719799999999999</v>
      </c>
      <c r="G82" s="13">
        <v>5285.2721862896096</v>
      </c>
      <c r="H82" s="8">
        <v>45257</v>
      </c>
      <c r="I82" s="14">
        <v>1013.3744</v>
      </c>
      <c r="J82" s="8">
        <v>45255</v>
      </c>
      <c r="M82"/>
      <c r="N82"/>
      <c r="O82"/>
    </row>
    <row r="83" spans="1:15" x14ac:dyDescent="0.25">
      <c r="A83" s="7">
        <v>80</v>
      </c>
      <c r="B83" s="8">
        <v>45285</v>
      </c>
      <c r="C83" s="9" t="s">
        <v>250</v>
      </c>
      <c r="D83" s="10" t="s">
        <v>24</v>
      </c>
      <c r="E83" s="15">
        <v>-13352.60701344</v>
      </c>
      <c r="F83" s="16">
        <v>-12.8019</v>
      </c>
      <c r="G83" s="13">
        <v>5272.4702862896102</v>
      </c>
      <c r="H83" s="8">
        <v>45287</v>
      </c>
      <c r="I83" s="14">
        <v>1043.0175999999999</v>
      </c>
      <c r="J83" s="8">
        <v>45285</v>
      </c>
      <c r="L83" s="15">
        <v>-16928.392523580002</v>
      </c>
      <c r="M83" s="23">
        <f>E83+L83</f>
        <v>-30280.999537020001</v>
      </c>
    </row>
    <row r="84" spans="1:15" hidden="1" x14ac:dyDescent="0.25">
      <c r="A84" s="7">
        <v>81</v>
      </c>
      <c r="B84" s="8">
        <v>45285</v>
      </c>
      <c r="C84" s="9" t="s">
        <v>251</v>
      </c>
      <c r="D84" s="10" t="s">
        <v>24</v>
      </c>
      <c r="E84" s="15">
        <v>-11023.86161792</v>
      </c>
      <c r="F84" s="16">
        <v>-10.5692</v>
      </c>
      <c r="G84" s="13">
        <v>5261.9010862896102</v>
      </c>
      <c r="H84" s="8">
        <v>45287</v>
      </c>
      <c r="I84" s="14">
        <v>1043.0175999999999</v>
      </c>
      <c r="J84" s="8">
        <v>45285</v>
      </c>
      <c r="M84"/>
      <c r="N84"/>
      <c r="O84"/>
    </row>
    <row r="85" spans="1:15" x14ac:dyDescent="0.25">
      <c r="A85" s="7">
        <v>82</v>
      </c>
      <c r="B85" s="8">
        <v>45316</v>
      </c>
      <c r="C85" s="9" t="s">
        <v>252</v>
      </c>
      <c r="D85" s="10" t="s">
        <v>24</v>
      </c>
      <c r="E85" s="15">
        <v>-13259.86410372</v>
      </c>
      <c r="F85" s="16">
        <v>-12.7986</v>
      </c>
      <c r="G85" s="13">
        <v>5249.1024862896102</v>
      </c>
      <c r="H85" s="8">
        <v>45316</v>
      </c>
      <c r="I85" s="14">
        <v>1036.0401999999999</v>
      </c>
      <c r="J85" s="8">
        <v>45316</v>
      </c>
      <c r="L85" s="15">
        <v>-17021.088256480001</v>
      </c>
      <c r="M85" s="23">
        <f>E85+L85</f>
        <v>-30280.952360200001</v>
      </c>
    </row>
    <row r="86" spans="1:15" hidden="1" x14ac:dyDescent="0.25">
      <c r="A86" s="7">
        <v>83</v>
      </c>
      <c r="B86" s="8">
        <v>45316</v>
      </c>
      <c r="C86" s="9" t="s">
        <v>253</v>
      </c>
      <c r="D86" s="10" t="s">
        <v>24</v>
      </c>
      <c r="E86" s="15">
        <v>-10947.3187733</v>
      </c>
      <c r="F86" s="16">
        <v>-10.5665</v>
      </c>
      <c r="G86" s="13">
        <v>5238.5359862896103</v>
      </c>
      <c r="H86" s="8">
        <v>45316</v>
      </c>
      <c r="I86" s="14">
        <v>1036.0401999999999</v>
      </c>
      <c r="J86" s="8">
        <v>45316</v>
      </c>
      <c r="M86"/>
      <c r="N86"/>
      <c r="O86"/>
    </row>
    <row r="87" spans="1:15" x14ac:dyDescent="0.25">
      <c r="A87" s="7">
        <v>84</v>
      </c>
      <c r="B87" s="8">
        <v>45347</v>
      </c>
      <c r="C87" s="9" t="s">
        <v>254</v>
      </c>
      <c r="D87" s="10" t="s">
        <v>24</v>
      </c>
      <c r="E87" s="15">
        <v>-13328.92364662</v>
      </c>
      <c r="F87" s="16">
        <v>-12.786099999999999</v>
      </c>
      <c r="G87" s="13">
        <v>5225.74988628961</v>
      </c>
      <c r="H87" s="8">
        <v>45348</v>
      </c>
      <c r="I87" s="14">
        <v>1042.4541999999999</v>
      </c>
      <c r="J87" s="8">
        <v>45347</v>
      </c>
      <c r="L87" s="15">
        <v>-16952.0160048</v>
      </c>
      <c r="M87" s="23">
        <f>E87+L87</f>
        <v>-30280.939651419998</v>
      </c>
    </row>
    <row r="88" spans="1:15" hidden="1" x14ac:dyDescent="0.25">
      <c r="A88" s="7">
        <v>85</v>
      </c>
      <c r="B88" s="8">
        <v>45347</v>
      </c>
      <c r="C88" s="9" t="s">
        <v>255</v>
      </c>
      <c r="D88" s="10" t="s">
        <v>24</v>
      </c>
      <c r="E88" s="15">
        <v>-11004.355026040001</v>
      </c>
      <c r="F88" s="16">
        <v>-10.5562</v>
      </c>
      <c r="G88" s="13">
        <v>5215.19368628961</v>
      </c>
      <c r="H88" s="8">
        <v>45348</v>
      </c>
      <c r="I88" s="14">
        <v>1042.4541999999999</v>
      </c>
      <c r="J88" s="8">
        <v>45347</v>
      </c>
      <c r="M88"/>
      <c r="N88"/>
      <c r="O88"/>
    </row>
    <row r="89" spans="1:15" x14ac:dyDescent="0.25">
      <c r="A89" s="7">
        <v>86</v>
      </c>
      <c r="B89" s="8">
        <v>45376</v>
      </c>
      <c r="C89" s="9" t="s">
        <v>256</v>
      </c>
      <c r="D89" s="10" t="s">
        <v>24</v>
      </c>
      <c r="E89" s="15">
        <v>-13335.852610080001</v>
      </c>
      <c r="F89" s="16">
        <v>-12.805199999999999</v>
      </c>
      <c r="G89" s="13">
        <v>5202.3884862896102</v>
      </c>
      <c r="H89" s="8">
        <v>45378</v>
      </c>
      <c r="I89" s="14">
        <v>1041.4404</v>
      </c>
      <c r="J89" s="8">
        <v>45376</v>
      </c>
      <c r="L89" s="15">
        <v>-16945.060924919999</v>
      </c>
      <c r="M89" s="23">
        <f>E89+L89</f>
        <v>-30280.913535</v>
      </c>
    </row>
    <row r="90" spans="1:15" hidden="1" x14ac:dyDescent="0.25">
      <c r="A90" s="7">
        <v>87</v>
      </c>
      <c r="B90" s="8">
        <v>45376</v>
      </c>
      <c r="C90" s="9" t="s">
        <v>257</v>
      </c>
      <c r="D90" s="10" t="s">
        <v>24</v>
      </c>
      <c r="E90" s="15">
        <v>-11010.107908800001</v>
      </c>
      <c r="F90" s="16">
        <v>-10.571999999999999</v>
      </c>
      <c r="G90" s="13">
        <v>5191.8164862896101</v>
      </c>
      <c r="H90" s="8">
        <v>45378</v>
      </c>
      <c r="I90" s="14">
        <v>1041.4404</v>
      </c>
      <c r="J90" s="8">
        <v>45376</v>
      </c>
      <c r="M90"/>
      <c r="N90"/>
      <c r="O90"/>
    </row>
    <row r="91" spans="1:15" x14ac:dyDescent="0.25">
      <c r="A91" s="7">
        <v>88</v>
      </c>
      <c r="B91" s="8">
        <v>45407</v>
      </c>
      <c r="C91" s="9" t="s">
        <v>258</v>
      </c>
      <c r="D91" s="10" t="s">
        <v>24</v>
      </c>
      <c r="E91" s="15">
        <v>-6887.33</v>
      </c>
      <c r="F91" s="16">
        <v>-6.8007</v>
      </c>
      <c r="G91" s="13">
        <v>5185.0157862896103</v>
      </c>
      <c r="H91" s="8">
        <v>45414</v>
      </c>
      <c r="I91" s="14">
        <v>1012.7384</v>
      </c>
      <c r="J91" s="8">
        <v>45416</v>
      </c>
      <c r="L91" s="15">
        <v>-6887.33</v>
      </c>
      <c r="M91" s="23">
        <f t="shared" ref="M91:M92" si="0">E91+L91</f>
        <v>-13774.66</v>
      </c>
      <c r="N91" s="23">
        <f>$M$89-M91</f>
        <v>-16506.253535</v>
      </c>
    </row>
    <row r="92" spans="1:15" x14ac:dyDescent="0.25">
      <c r="A92" s="7">
        <v>89</v>
      </c>
      <c r="B92" s="8">
        <v>45437</v>
      </c>
      <c r="C92" s="9" t="s">
        <v>259</v>
      </c>
      <c r="D92" s="10" t="s">
        <v>24</v>
      </c>
      <c r="E92" s="15">
        <v>-6887.33</v>
      </c>
      <c r="F92" s="16">
        <v>-6.8204000000000002</v>
      </c>
      <c r="G92" s="13">
        <v>5178.1953862896098</v>
      </c>
      <c r="H92" s="8">
        <v>45439</v>
      </c>
      <c r="I92" s="14">
        <v>1009.806</v>
      </c>
      <c r="J92" s="8">
        <v>45441</v>
      </c>
      <c r="L92" s="15">
        <v>-6887.33</v>
      </c>
      <c r="M92" s="23">
        <f t="shared" si="0"/>
        <v>-13774.66</v>
      </c>
      <c r="N92" s="23">
        <f>$M$89-M92</f>
        <v>-16506.253535</v>
      </c>
    </row>
    <row r="93" spans="1:15" hidden="1" x14ac:dyDescent="0.25">
      <c r="A93" s="7">
        <v>90</v>
      </c>
      <c r="B93" s="8">
        <v>45407</v>
      </c>
      <c r="C93" s="9" t="s">
        <v>260</v>
      </c>
      <c r="D93" s="10" t="s">
        <v>24</v>
      </c>
      <c r="E93" s="15">
        <v>-12500</v>
      </c>
      <c r="F93" s="16">
        <v>-12.2636</v>
      </c>
      <c r="G93" s="13">
        <v>5165.9317862896096</v>
      </c>
      <c r="H93" s="8">
        <v>45450</v>
      </c>
      <c r="I93" s="14">
        <v>1019.2771</v>
      </c>
      <c r="J93" s="8">
        <v>45454</v>
      </c>
      <c r="M93"/>
      <c r="N93"/>
      <c r="O93"/>
    </row>
    <row r="94" spans="1:15" hidden="1" x14ac:dyDescent="0.25">
      <c r="A94" s="7">
        <v>91</v>
      </c>
      <c r="B94" s="8">
        <v>45437</v>
      </c>
      <c r="C94" s="9" t="s">
        <v>261</v>
      </c>
      <c r="D94" s="10" t="s">
        <v>24</v>
      </c>
      <c r="E94" s="15">
        <v>-12500</v>
      </c>
      <c r="F94" s="16">
        <v>-12.2636</v>
      </c>
      <c r="G94" s="13">
        <v>5153.6681862896103</v>
      </c>
      <c r="H94" s="8">
        <v>45450</v>
      </c>
      <c r="I94" s="14">
        <v>1019.2771</v>
      </c>
      <c r="J94" s="8">
        <v>45454</v>
      </c>
      <c r="M94"/>
      <c r="N94"/>
      <c r="O94"/>
    </row>
    <row r="95" spans="1:15" hidden="1" x14ac:dyDescent="0.25">
      <c r="A95" s="7">
        <v>92</v>
      </c>
      <c r="B95" s="8">
        <v>45468</v>
      </c>
      <c r="C95" s="9" t="s">
        <v>262</v>
      </c>
      <c r="D95" s="10" t="s">
        <v>24</v>
      </c>
      <c r="E95" s="15">
        <v>-12500</v>
      </c>
      <c r="F95" s="16">
        <v>-12.418100000000001</v>
      </c>
      <c r="G95" s="13">
        <v>5141.2500862896104</v>
      </c>
      <c r="H95" s="8">
        <v>45469</v>
      </c>
      <c r="I95" s="14">
        <v>1006.5981</v>
      </c>
      <c r="J95" s="8">
        <v>45471</v>
      </c>
      <c r="M95"/>
      <c r="N95"/>
      <c r="O95"/>
    </row>
    <row r="96" spans="1:15" x14ac:dyDescent="0.25">
      <c r="A96" s="7">
        <v>93</v>
      </c>
      <c r="B96" s="8">
        <v>45468</v>
      </c>
      <c r="C96" s="9" t="s">
        <v>263</v>
      </c>
      <c r="D96" s="10" t="s">
        <v>24</v>
      </c>
      <c r="E96" s="15">
        <v>-6887.33</v>
      </c>
      <c r="F96" s="16">
        <v>-6.75</v>
      </c>
      <c r="G96" s="13">
        <v>5134.5000862896104</v>
      </c>
      <c r="H96" s="8">
        <v>45476</v>
      </c>
      <c r="I96" s="14">
        <v>1020.3526000000001</v>
      </c>
      <c r="J96" s="8">
        <v>45478</v>
      </c>
      <c r="L96" s="15">
        <v>-6887.33</v>
      </c>
      <c r="M96" s="23">
        <f t="shared" ref="M96:M97" si="1">E96+L96</f>
        <v>-13774.66</v>
      </c>
      <c r="N96" s="23">
        <f t="shared" ref="N96:N97" si="2">$M$89-M96</f>
        <v>-16506.253535</v>
      </c>
    </row>
    <row r="97" spans="1:15" x14ac:dyDescent="0.25">
      <c r="A97" s="7">
        <v>94</v>
      </c>
      <c r="B97" s="8">
        <v>45498</v>
      </c>
      <c r="C97" s="9" t="s">
        <v>264</v>
      </c>
      <c r="D97" s="10" t="s">
        <v>24</v>
      </c>
      <c r="E97" s="15">
        <v>-6887.33</v>
      </c>
      <c r="F97" s="16">
        <v>-6.6083999999999996</v>
      </c>
      <c r="G97" s="13">
        <v>5127.8916862896103</v>
      </c>
      <c r="H97" s="8">
        <v>45499</v>
      </c>
      <c r="I97" s="14">
        <v>1042.2125000000001</v>
      </c>
      <c r="J97" s="8">
        <v>45503</v>
      </c>
      <c r="L97" s="15">
        <v>-6887.33</v>
      </c>
      <c r="M97" s="23">
        <f t="shared" si="1"/>
        <v>-13774.66</v>
      </c>
      <c r="N97" s="23">
        <f t="shared" si="2"/>
        <v>-16506.253535</v>
      </c>
    </row>
    <row r="98" spans="1:15" hidden="1" x14ac:dyDescent="0.25">
      <c r="A98" s="7">
        <v>95</v>
      </c>
      <c r="B98" s="8">
        <v>45498</v>
      </c>
      <c r="C98" s="9" t="s">
        <v>265</v>
      </c>
      <c r="D98" s="10" t="s">
        <v>24</v>
      </c>
      <c r="E98" s="15">
        <v>-12500</v>
      </c>
      <c r="F98" s="16">
        <v>-11.935</v>
      </c>
      <c r="G98" s="13">
        <v>5115.9566862896099</v>
      </c>
      <c r="H98" s="8">
        <v>45502</v>
      </c>
      <c r="I98" s="14">
        <v>1047.3391999999999</v>
      </c>
      <c r="J98" s="8">
        <v>45504</v>
      </c>
      <c r="M98"/>
      <c r="N98"/>
      <c r="O98"/>
    </row>
    <row r="99" spans="1:15" hidden="1" x14ac:dyDescent="0.25">
      <c r="A99" s="7">
        <v>96</v>
      </c>
      <c r="B99" s="8">
        <v>45529</v>
      </c>
      <c r="C99" s="9" t="s">
        <v>266</v>
      </c>
      <c r="D99" s="10" t="s">
        <v>24</v>
      </c>
      <c r="E99" s="15">
        <v>-12500</v>
      </c>
      <c r="F99" s="16">
        <v>-11.8485</v>
      </c>
      <c r="G99" s="13">
        <v>5104.1081862896099</v>
      </c>
      <c r="H99" s="8">
        <v>45530</v>
      </c>
      <c r="I99" s="14">
        <v>1054.9884999999999</v>
      </c>
      <c r="J99" s="8">
        <v>45532</v>
      </c>
      <c r="M99"/>
      <c r="N99"/>
      <c r="O99"/>
    </row>
    <row r="100" spans="1:15" x14ac:dyDescent="0.25">
      <c r="A100" s="7">
        <v>97</v>
      </c>
      <c r="B100" s="8">
        <v>45529</v>
      </c>
      <c r="C100" s="9" t="s">
        <v>267</v>
      </c>
      <c r="D100" s="10" t="s">
        <v>24</v>
      </c>
      <c r="E100" s="15">
        <v>-6887.33</v>
      </c>
      <c r="F100" s="16">
        <v>-6.4904999999999999</v>
      </c>
      <c r="G100" s="13">
        <v>5097.61768628961</v>
      </c>
      <c r="H100" s="8">
        <v>45531</v>
      </c>
      <c r="I100" s="14">
        <v>1061.1428000000001</v>
      </c>
      <c r="J100" s="8">
        <v>45533</v>
      </c>
      <c r="L100" s="15">
        <v>-6887.33</v>
      </c>
      <c r="M100" s="23">
        <f>E100+L100</f>
        <v>-13774.66</v>
      </c>
      <c r="N100" s="23">
        <f>$M$89-M100</f>
        <v>-16506.253535</v>
      </c>
    </row>
    <row r="101" spans="1:15" hidden="1" x14ac:dyDescent="0.25">
      <c r="A101" s="7">
        <v>98</v>
      </c>
      <c r="B101" s="8">
        <v>45560</v>
      </c>
      <c r="C101" s="9" t="s">
        <v>269</v>
      </c>
      <c r="D101" s="10" t="s">
        <v>24</v>
      </c>
      <c r="E101" s="15">
        <v>-12500</v>
      </c>
      <c r="F101" s="16">
        <v>-11.394600000000001</v>
      </c>
      <c r="G101" s="13">
        <v>5086.2230862896104</v>
      </c>
      <c r="H101" s="8">
        <v>45561</v>
      </c>
      <c r="I101" s="14">
        <v>1097.0078000000001</v>
      </c>
      <c r="J101" s="8">
        <v>45563</v>
      </c>
      <c r="M101"/>
      <c r="N101"/>
      <c r="O101"/>
    </row>
    <row r="102" spans="1:15" x14ac:dyDescent="0.25">
      <c r="A102" s="7">
        <v>99</v>
      </c>
      <c r="B102" s="8">
        <v>45560</v>
      </c>
      <c r="C102" s="9" t="s">
        <v>268</v>
      </c>
      <c r="D102" s="10" t="s">
        <v>24</v>
      </c>
      <c r="E102" s="15">
        <v>-6887.33</v>
      </c>
      <c r="F102" s="16">
        <v>-6.2782999999999998</v>
      </c>
      <c r="G102" s="13">
        <v>5079.9447862896104</v>
      </c>
      <c r="H102" s="8">
        <v>45561</v>
      </c>
      <c r="I102" s="14">
        <v>1097.0078000000001</v>
      </c>
      <c r="J102" s="8">
        <v>45563</v>
      </c>
      <c r="L102" s="15">
        <v>-6887.33</v>
      </c>
      <c r="M102" s="23">
        <f>E102+L102</f>
        <v>-13774.66</v>
      </c>
      <c r="N102" s="24">
        <f>-30900-M102</f>
        <v>-17125.34</v>
      </c>
    </row>
    <row r="103" spans="1:15" ht="0" hidden="1" customHeight="1" x14ac:dyDescent="0.25">
      <c r="M103"/>
      <c r="N103"/>
      <c r="O103"/>
    </row>
    <row r="104" spans="1:15" x14ac:dyDescent="0.25">
      <c r="N104" s="25">
        <f>SUM(N91:N102)</f>
        <v>-99656.607674999992</v>
      </c>
      <c r="O104" s="26" t="s">
        <v>274</v>
      </c>
    </row>
  </sheetData>
  <autoFilter ref="A3:K102" xr:uid="{00000000-0001-0000-0500-000000000000}">
    <filterColumn colId="2">
      <filters>
        <filter val="TABARRU tahun ke 10 bulan ke 1"/>
        <filter val="TABARRU tahun ke 10 bulan ke 10"/>
        <filter val="TABARRU tahun ke 10 bulan ke 11"/>
        <filter val="TABARRU tahun ke 10 bulan ke 12"/>
        <filter val="TABARRU tahun ke 10 bulan ke 2"/>
        <filter val="TABARRU tahun ke 10 bulan ke 3"/>
        <filter val="TABARRU tahun ke 10 bulan ke 4"/>
        <filter val="TABARRU tahun ke 10 bulan ke 5"/>
        <filter val="TABARRU tahun ke 10 bulan ke 6"/>
        <filter val="TABARRU tahun ke 10 bulan ke 7"/>
        <filter val="TABARRU tahun ke 10 bulan ke 8"/>
        <filter val="TABARRU tahun ke 10 bulan ke 9"/>
        <filter val="TABARRU tahun ke 11 bulan ke 1"/>
        <filter val="TABARRU tahun ke 7 bulan ke 1"/>
        <filter val="TABARRU tahun ke 7 bulan ke 10"/>
        <filter val="TABARRU tahun ke 7 bulan ke 11"/>
        <filter val="TABARRU tahun ke 7 bulan ke 12"/>
        <filter val="TABARRU tahun ke 7 bulan ke 2"/>
        <filter val="TABARRU tahun ke 7 bulan ke 3"/>
        <filter val="TABARRU tahun ke 7 bulan ke 4"/>
        <filter val="TABARRU tahun ke 7 bulan ke 5"/>
        <filter val="TABARRU tahun ke 7 bulan ke 6"/>
        <filter val="TABARRU tahun ke 7 bulan ke 7"/>
        <filter val="TABARRU tahun ke 7 bulan ke 8"/>
        <filter val="TABARRU tahun ke 7 bulan ke 9"/>
        <filter val="TABARRU tahun ke 8 bulan ke 1"/>
        <filter val="TABARRU tahun ke 8 bulan ke 10"/>
        <filter val="TABARRU tahun ke 8 bulan ke 12"/>
        <filter val="TABARRU tahun ke 8 bulan ke 2"/>
        <filter val="TABARRU tahun ke 8 bulan ke 3"/>
        <filter val="TABARRU tahun ke 8 bulan ke 4"/>
        <filter val="TABARRU tahun ke 8 bulan ke 5"/>
        <filter val="TABARRU tahun ke 8 bulan ke 6"/>
        <filter val="TABARRU tahun ke 8 bulan ke 7"/>
        <filter val="TABARRU tahun ke 8 bulan ke 8"/>
        <filter val="TABARRU tahun ke 8 bulan ke 9"/>
        <filter val="TABARRU tahun ke 9 bulan ke 1"/>
        <filter val="TABARRU tahun ke 9 bulan ke 10"/>
        <filter val="TABARRU tahun ke 9 bulan ke 11"/>
        <filter val="TABARRU tahun ke 9 bulan ke 12"/>
        <filter val="TABARRU tahun ke 9 bulan ke 2"/>
        <filter val="TABARRU tahun ke 9 bulan ke 3"/>
        <filter val="TABARRU tahun ke 9 bulan ke 5"/>
        <filter val="TABARRU tahun ke 9 bulan ke 6"/>
        <filter val="TABARRU tahun ke 9 bulan ke 7"/>
        <filter val="TABARRU tahun ke 9 bulan ke 8"/>
        <filter val="TABARRU tahun ke 9 bulan ke 9"/>
      </filters>
    </filterColumn>
  </autoFilter>
  <mergeCells count="4">
    <mergeCell ref="A1:G1"/>
    <mergeCell ref="I1:K1"/>
    <mergeCell ref="A2:B2"/>
    <mergeCell ref="C2:H2"/>
  </mergeCells>
  <pageMargins left="1" right="1" top="1" bottom="1" header="1" footer="1"/>
  <pageSetup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Lembar kerja</vt:lpstr>
      </vt:variant>
      <vt:variant>
        <vt:i4>6</vt:i4>
      </vt:variant>
    </vt:vector>
  </HeadingPairs>
  <TitlesOfParts>
    <vt:vector size="6" baseType="lpstr">
      <vt:lpstr>Document map</vt:lpstr>
      <vt:lpstr>INVESTASI DANA ALIA</vt:lpstr>
      <vt:lpstr>INVESTASI DANA ISTIQOMAH</vt:lpstr>
      <vt:lpstr>INVESTASI DANA MIZAN</vt:lpstr>
      <vt:lpstr>TAKAFUL AMANA PENDAPATAN TETAP</vt:lpstr>
      <vt:lpstr>TAKAFUL EKUITA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Wahyuningsih</dc:creator>
  <cp:lastModifiedBy>Wahyuningsih</cp:lastModifiedBy>
  <dcterms:created xsi:type="dcterms:W3CDTF">2024-10-24T02:14:58Z</dcterms:created>
  <dcterms:modified xsi:type="dcterms:W3CDTF">2024-10-24T02:19:08Z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